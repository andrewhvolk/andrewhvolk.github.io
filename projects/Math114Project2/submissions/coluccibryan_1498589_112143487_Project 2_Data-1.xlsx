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d.docs.live.net/E91A13106EAAF7A8/Documents/"/>
    </mc:Choice>
  </mc:AlternateContent>
  <xr:revisionPtr revIDLastSave="207" documentId="8_{D2043A70-8A36-4491-B6F9-B2661D790703}" xr6:coauthVersionLast="47" xr6:coauthVersionMax="47" xr10:uidLastSave="{71A802D0-08FD-4C98-BFB9-65B927272D04}"/>
  <bookViews>
    <workbookView xWindow="11110" yWindow="0" windowWidth="11380" windowHeight="13370" activeTab="1" xr2:uid="{00000000-000D-0000-FFFF-FFFF00000000}"/>
  </bookViews>
  <sheets>
    <sheet name="Sheet1" sheetId="1" r:id="rId1"/>
    <sheet name="References &amp; short answ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 l="1"/>
  <c r="E48" i="1"/>
  <c r="B64" i="1"/>
  <c r="E64" i="1"/>
  <c r="E51" i="1"/>
  <c r="B51" i="1"/>
  <c r="E35" i="1"/>
  <c r="B35" i="1"/>
  <c r="E18" i="1"/>
  <c r="B18" i="1"/>
</calcChain>
</file>

<file path=xl/sharedStrings.xml><?xml version="1.0" encoding="utf-8"?>
<sst xmlns="http://schemas.openxmlformats.org/spreadsheetml/2006/main" count="123" uniqueCount="32">
  <si>
    <t>All causes</t>
  </si>
  <si>
    <t>Diseases of heart</t>
  </si>
  <si>
    <t>Malignant neoplasms</t>
  </si>
  <si>
    <t>Cerebrovascular diseases</t>
  </si>
  <si>
    <t>Unintentional injuries</t>
  </si>
  <si>
    <t>Chronic obstructive pulmonary disease</t>
  </si>
  <si>
    <t>Pneumonia and influenza</t>
  </si>
  <si>
    <t>Diabetes mellitus</t>
  </si>
  <si>
    <t>Chronic liver disease and cirrhosis</t>
  </si>
  <si>
    <t>Atherosclerosis</t>
  </si>
  <si>
    <t>Suicide</t>
  </si>
  <si>
    <t>Chronic lower respiratory diseases</t>
  </si>
  <si>
    <t>Alzheimer's disease</t>
  </si>
  <si>
    <t>Influenza and pneumonia</t>
  </si>
  <si>
    <t>Nephritis, nephrotic syndrome and nephrosis</t>
  </si>
  <si>
    <t>Ages 25 - 44</t>
  </si>
  <si>
    <t>Homicide</t>
  </si>
  <si>
    <t>Congenital anomalies</t>
  </si>
  <si>
    <t>HIV disease</t>
  </si>
  <si>
    <t>Ages 15 - 24</t>
  </si>
  <si>
    <t>Anemias</t>
  </si>
  <si>
    <t>Chronic lower respiratory disease</t>
  </si>
  <si>
    <t>Congenital malformations/abnormalities</t>
  </si>
  <si>
    <t>Ages 45 - 64</t>
  </si>
  <si>
    <t>Septicemia</t>
  </si>
  <si>
    <t>Population</t>
  </si>
  <si>
    <t>Deaths</t>
  </si>
  <si>
    <t>Complicated Pregnancy</t>
  </si>
  <si>
    <t xml:space="preserve"> </t>
  </si>
  <si>
    <t xml:space="preserve">Suicide Rate: </t>
  </si>
  <si>
    <t>Suicide Rate:</t>
  </si>
  <si>
    <t>Diseases of heart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</si>
</sst>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4" fontId="0" fillId="0" borderId="0" xfId="0" applyNumberFormat="1"/>
    <xf numFmtId="2" fontId="0" fillId="0" borderId="0" xfId="0" applyNumberFormat="1"/>
    <xf numFmtId="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19050</xdr:rowOff>
    </xdr:from>
    <xdr:to>
      <xdr:col>9</xdr:col>
      <xdr:colOff>476250</xdr:colOff>
      <xdr:row>30</xdr:row>
      <xdr:rowOff>171450</xdr:rowOff>
    </xdr:to>
    <xdr:sp macro="" textlink="">
      <xdr:nvSpPr>
        <xdr:cNvPr id="2" name="TextBox 1">
          <a:extLst>
            <a:ext uri="{FF2B5EF4-FFF2-40B4-BE49-F238E27FC236}">
              <a16:creationId xmlns:a16="http://schemas.microsoft.com/office/drawing/2014/main" id="{0E5FD5FD-8106-BAA0-4097-17E0C51C3679}"/>
            </a:ext>
          </a:extLst>
        </xdr:cNvPr>
        <xdr:cNvSpPr txBox="1"/>
      </xdr:nvSpPr>
      <xdr:spPr>
        <a:xfrm>
          <a:off x="6350" y="19050"/>
          <a:ext cx="5956300" cy="567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1. </a:t>
          </a:r>
          <a:r>
            <a:rPr lang="en-US" sz="1200">
              <a:latin typeface="Times New Roman" panose="02020603050405020304" pitchFamily="18" charset="0"/>
              <a:cs typeface="Times New Roman" panose="02020603050405020304" pitchFamily="18" charset="0"/>
            </a:rPr>
            <a:t>In all of these age groups (15-24, 25-44, and 45-64), the change</a:t>
          </a:r>
          <a:r>
            <a:rPr lang="en-US" sz="1200" baseline="0">
              <a:latin typeface="Times New Roman" panose="02020603050405020304" pitchFamily="18" charset="0"/>
              <a:cs typeface="Times New Roman" panose="02020603050405020304" pitchFamily="18" charset="0"/>
            </a:rPr>
            <a:t> in death rate per 1000 people changed, even though the population has increased from the year 1980 to 2016, the death rate is lower. With driving still being a newer task, we can see that according to the data on this spreadsheet, unintentional injury deaths were almost double in 1980 compared to 2016 for the </a:t>
          </a:r>
          <a:r>
            <a:rPr lang="en-US" sz="1200" b="1" baseline="0">
              <a:latin typeface="Times New Roman" panose="02020603050405020304" pitchFamily="18" charset="0"/>
              <a:cs typeface="Times New Roman" panose="02020603050405020304" pitchFamily="18" charset="0"/>
            </a:rPr>
            <a:t>15-24 age group</a:t>
          </a:r>
          <a:r>
            <a:rPr lang="en-US" sz="1200" baseline="0">
              <a:latin typeface="Times New Roman" panose="02020603050405020304" pitchFamily="18" charset="0"/>
              <a:cs typeface="Times New Roman" panose="02020603050405020304" pitchFamily="18" charset="0"/>
            </a:rPr>
            <a:t>. These deaths could of been triggered from driving incidents or foul play.</a:t>
          </a:r>
        </a:p>
        <a:p>
          <a:r>
            <a:rPr lang="en-US" sz="1200">
              <a:hlinkClick xmlns:r="http://schemas.openxmlformats.org/officeDocument/2006/relationships" r:id=""/>
            </a:rPr>
            <a:t>Historical Trends: Deaths by Age Group - Injury Facts</a:t>
          </a:r>
          <a:endParaRPr lang="en-US" sz="1200"/>
        </a:p>
        <a:p>
          <a:endParaRPr lang="en-US" sz="12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2. </a:t>
          </a:r>
          <a:r>
            <a:rPr lang="en-US" sz="1200">
              <a:latin typeface="Times New Roman" panose="02020603050405020304" pitchFamily="18" charset="0"/>
              <a:cs typeface="Times New Roman" panose="02020603050405020304" pitchFamily="18" charset="0"/>
            </a:rPr>
            <a:t>From</a:t>
          </a:r>
          <a:r>
            <a:rPr lang="en-US" sz="1200" baseline="0">
              <a:latin typeface="Times New Roman" panose="02020603050405020304" pitchFamily="18" charset="0"/>
              <a:cs typeface="Times New Roman" panose="02020603050405020304" pitchFamily="18" charset="0"/>
            </a:rPr>
            <a:t> the data given on the Excel sheet, what strikes me is the fact that the death rates for all of the ages are lower in 2016 than in 1980, yet the amount of suicides for each age group in 2016 is vastly more than the amount of suicides in 1980. from the 45-64 agree group, the amount of suicides were double in 2016 than they were in 1980. The suicide rate in 1980 was 0.16/per 1,000 deaths. The suicide rate in 2016 was 0.19/per 1,000 deaths.</a:t>
          </a:r>
        </a:p>
        <a:p>
          <a:r>
            <a:rPr lang="en-US" sz="1200">
              <a:hlinkClick xmlns:r="http://schemas.openxmlformats.org/officeDocument/2006/relationships" r:id=""/>
            </a:rPr>
            <a:t>Products - Data Briefs - Number 309 - June 2018</a:t>
          </a:r>
          <a:endParaRPr lang="en-US" sz="1200"/>
        </a:p>
        <a:p>
          <a:endParaRPr lang="en-US" sz="12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3</a:t>
          </a:r>
          <a:r>
            <a:rPr lang="en-US" sz="1200">
              <a:latin typeface="Times New Roman" panose="02020603050405020304" pitchFamily="18" charset="0"/>
              <a:cs typeface="Times New Roman" panose="02020603050405020304" pitchFamily="18" charset="0"/>
            </a:rPr>
            <a:t>. Looking only at the 2016 data, the</a:t>
          </a:r>
          <a:r>
            <a:rPr lang="en-US" sz="1200" baseline="0">
              <a:latin typeface="Times New Roman" panose="02020603050405020304" pitchFamily="18" charset="0"/>
              <a:cs typeface="Times New Roman" panose="02020603050405020304" pitchFamily="18" charset="0"/>
            </a:rPr>
            <a:t> disease of the heart rate goes up significantly in the 45-64 age group. The disease of the heart actually appears in all of the years and within all of the age groups because it is such a prominent issue that will always exist.</a:t>
          </a:r>
        </a:p>
        <a:p>
          <a:r>
            <a:rPr lang="en-US" sz="1200">
              <a:hlinkClick xmlns:r="http://schemas.openxmlformats.org/officeDocument/2006/relationships" r:id=""/>
            </a:rPr>
            <a:t>Heart Health and Aging | National Institute on Aging</a:t>
          </a:r>
          <a:endParaRPr lang="en-US" sz="1200"/>
        </a:p>
        <a:p>
          <a:endParaRPr lang="en-US" sz="12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4. </a:t>
          </a:r>
          <a:r>
            <a:rPr lang="en-US" sz="1200" b="0">
              <a:latin typeface="Times New Roman" panose="02020603050405020304" pitchFamily="18" charset="0"/>
              <a:cs typeface="Times New Roman" panose="02020603050405020304" pitchFamily="18" charset="0"/>
            </a:rPr>
            <a:t>When</a:t>
          </a:r>
          <a:r>
            <a:rPr lang="en-US" sz="1200" b="0" baseline="0">
              <a:latin typeface="Times New Roman" panose="02020603050405020304" pitchFamily="18" charset="0"/>
              <a:cs typeface="Times New Roman" panose="02020603050405020304" pitchFamily="18" charset="0"/>
            </a:rPr>
            <a:t> considering the topic of death, I think it is uncomfortable to have a conversation with those you love. As humans, birth and death are natural life experiences that everyone will have to go through. Although they are natural occurrences, death is an uncomfortable situation because you have to say goodbye to those you are close with. Because we are Christians, we are called to live a life set apart, and because of this, we should feel confident in the salvation we have because of Jesus Christ dying for our sins. Although our body will be dead, this does not mean our soul will be dead if we live according to God's plan for our life. I think there is value in thinking about the end of all mankind, atleast to understand the seriousness of it. Life is a gift, and we are all given one life and body, it is important to be a steward of it and to give thanks to God even in hardship.</a:t>
          </a:r>
          <a:endParaRPr lang="en-US" sz="1400" b="1">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topLeftCell="B40" zoomScaleNormal="70" workbookViewId="0">
      <selection activeCell="E48" sqref="E48"/>
    </sheetView>
  </sheetViews>
  <sheetFormatPr defaultRowHeight="14.5" x14ac:dyDescent="0.35"/>
  <cols>
    <col min="1" max="1" width="38" customWidth="1"/>
    <col min="2" max="2" width="16.26953125" customWidth="1"/>
    <col min="4" max="4" width="41.90625" customWidth="1"/>
    <col min="5" max="5" width="12.36328125" customWidth="1"/>
  </cols>
  <sheetData>
    <row r="1" spans="1:5" x14ac:dyDescent="0.35">
      <c r="A1">
        <v>1980</v>
      </c>
      <c r="D1">
        <v>2016</v>
      </c>
    </row>
    <row r="2" spans="1:5" x14ac:dyDescent="0.35">
      <c r="A2" t="s">
        <v>25</v>
      </c>
      <c r="B2" s="1">
        <v>226540000</v>
      </c>
      <c r="D2" t="s">
        <v>25</v>
      </c>
      <c r="E2" s="1">
        <v>323120000</v>
      </c>
    </row>
    <row r="3" spans="1:5" x14ac:dyDescent="0.35">
      <c r="A3" t="s">
        <v>26</v>
      </c>
      <c r="B3" s="2"/>
      <c r="D3" t="s">
        <v>26</v>
      </c>
      <c r="E3" s="3"/>
    </row>
    <row r="4" spans="1:5" x14ac:dyDescent="0.35">
      <c r="A4" t="s">
        <v>0</v>
      </c>
      <c r="B4" s="1">
        <v>1989841</v>
      </c>
      <c r="D4" t="s">
        <v>0</v>
      </c>
      <c r="E4" s="1">
        <v>2744248</v>
      </c>
    </row>
    <row r="5" spans="1:5" x14ac:dyDescent="0.35">
      <c r="A5" t="s">
        <v>1</v>
      </c>
      <c r="B5" s="1">
        <v>761085</v>
      </c>
      <c r="D5" t="s">
        <v>1</v>
      </c>
      <c r="E5" s="1">
        <v>635260</v>
      </c>
    </row>
    <row r="6" spans="1:5" x14ac:dyDescent="0.35">
      <c r="A6" t="s">
        <v>2</v>
      </c>
      <c r="B6" s="1">
        <v>416509</v>
      </c>
      <c r="D6" t="s">
        <v>2</v>
      </c>
      <c r="E6" s="1">
        <v>598038</v>
      </c>
    </row>
    <row r="7" spans="1:5" x14ac:dyDescent="0.35">
      <c r="A7" t="s">
        <v>3</v>
      </c>
      <c r="B7" s="1">
        <v>170225</v>
      </c>
      <c r="D7" t="s">
        <v>4</v>
      </c>
      <c r="E7" s="1">
        <v>161374</v>
      </c>
    </row>
    <row r="8" spans="1:5" x14ac:dyDescent="0.35">
      <c r="A8" t="s">
        <v>4</v>
      </c>
      <c r="B8" s="1">
        <v>105718</v>
      </c>
      <c r="D8" t="s">
        <v>11</v>
      </c>
      <c r="E8" s="1">
        <v>154596</v>
      </c>
    </row>
    <row r="9" spans="1:5" x14ac:dyDescent="0.35">
      <c r="A9" t="s">
        <v>5</v>
      </c>
      <c r="B9" s="1">
        <v>56050</v>
      </c>
      <c r="D9" t="s">
        <v>3</v>
      </c>
      <c r="E9" s="1">
        <v>142142</v>
      </c>
    </row>
    <row r="10" spans="1:5" x14ac:dyDescent="0.35">
      <c r="A10" t="s">
        <v>6</v>
      </c>
      <c r="B10" s="1">
        <v>54619</v>
      </c>
      <c r="D10" t="s">
        <v>12</v>
      </c>
      <c r="E10" s="1">
        <v>116103</v>
      </c>
    </row>
    <row r="11" spans="1:5" x14ac:dyDescent="0.35">
      <c r="A11" t="s">
        <v>7</v>
      </c>
      <c r="B11" s="1">
        <v>34851</v>
      </c>
      <c r="D11" t="s">
        <v>7</v>
      </c>
      <c r="E11" s="1">
        <v>80058</v>
      </c>
    </row>
    <row r="12" spans="1:5" x14ac:dyDescent="0.35">
      <c r="A12" t="s">
        <v>8</v>
      </c>
      <c r="B12" s="1">
        <v>30583</v>
      </c>
      <c r="D12" t="s">
        <v>13</v>
      </c>
      <c r="E12" s="1">
        <v>51537</v>
      </c>
    </row>
    <row r="13" spans="1:5" x14ac:dyDescent="0.35">
      <c r="A13" t="s">
        <v>9</v>
      </c>
      <c r="B13" s="1">
        <v>29449</v>
      </c>
      <c r="D13" t="s">
        <v>14</v>
      </c>
      <c r="E13" s="1">
        <v>50046</v>
      </c>
    </row>
    <row r="14" spans="1:5" x14ac:dyDescent="0.35">
      <c r="A14" t="s">
        <v>10</v>
      </c>
      <c r="B14" s="1">
        <v>26869</v>
      </c>
      <c r="D14" t="s">
        <v>10</v>
      </c>
      <c r="E14" s="1">
        <v>44965</v>
      </c>
    </row>
    <row r="16" spans="1:5" x14ac:dyDescent="0.35">
      <c r="A16" t="s">
        <v>19</v>
      </c>
      <c r="D16" t="s">
        <v>19</v>
      </c>
    </row>
    <row r="17" spans="1:6" x14ac:dyDescent="0.35">
      <c r="A17" t="s">
        <v>25</v>
      </c>
      <c r="B17" s="1">
        <v>42475000</v>
      </c>
      <c r="D17" t="s">
        <v>25</v>
      </c>
      <c r="E17" s="1">
        <v>43500000</v>
      </c>
    </row>
    <row r="18" spans="1:6" x14ac:dyDescent="0.35">
      <c r="A18" t="s">
        <v>26</v>
      </c>
      <c r="B18" s="2">
        <f>B19/B17*1000</f>
        <v>1.1542554443790465</v>
      </c>
      <c r="D18" t="s">
        <v>26</v>
      </c>
      <c r="E18" s="2">
        <f>E19/E17*1000</f>
        <v>0.74885057471264371</v>
      </c>
    </row>
    <row r="19" spans="1:6" x14ac:dyDescent="0.35">
      <c r="A19" t="s">
        <v>0</v>
      </c>
      <c r="B19" s="1">
        <v>49027</v>
      </c>
      <c r="D19" t="s">
        <v>0</v>
      </c>
      <c r="E19" s="1">
        <v>32575</v>
      </c>
    </row>
    <row r="20" spans="1:6" x14ac:dyDescent="0.35">
      <c r="A20" t="s">
        <v>4</v>
      </c>
      <c r="B20" s="1">
        <v>26206</v>
      </c>
      <c r="D20" t="s">
        <v>4</v>
      </c>
      <c r="E20" s="1">
        <v>13895</v>
      </c>
    </row>
    <row r="21" spans="1:6" x14ac:dyDescent="0.35">
      <c r="A21" t="s">
        <v>16</v>
      </c>
      <c r="B21" s="1">
        <v>6537</v>
      </c>
      <c r="D21" t="s">
        <v>10</v>
      </c>
      <c r="E21" s="1">
        <v>5723</v>
      </c>
    </row>
    <row r="22" spans="1:6" x14ac:dyDescent="0.35">
      <c r="A22" t="s">
        <v>10</v>
      </c>
      <c r="B22" s="1">
        <v>5239</v>
      </c>
      <c r="D22" t="s">
        <v>16</v>
      </c>
      <c r="E22" s="1">
        <v>5172</v>
      </c>
    </row>
    <row r="23" spans="1:6" x14ac:dyDescent="0.35">
      <c r="A23" t="s">
        <v>2</v>
      </c>
      <c r="B23" s="1">
        <v>2683</v>
      </c>
      <c r="D23" t="s">
        <v>2</v>
      </c>
      <c r="E23" s="1">
        <v>1431</v>
      </c>
    </row>
    <row r="24" spans="1:6" x14ac:dyDescent="0.35">
      <c r="A24" t="s">
        <v>1</v>
      </c>
      <c r="B24" s="1">
        <v>1223</v>
      </c>
      <c r="D24" t="s">
        <v>1</v>
      </c>
      <c r="E24" s="1">
        <v>949</v>
      </c>
    </row>
    <row r="25" spans="1:6" x14ac:dyDescent="0.35">
      <c r="A25" t="s">
        <v>17</v>
      </c>
      <c r="B25" s="1">
        <v>600</v>
      </c>
      <c r="D25" t="s">
        <v>22</v>
      </c>
      <c r="E25" s="1">
        <v>388</v>
      </c>
    </row>
    <row r="26" spans="1:6" x14ac:dyDescent="0.35">
      <c r="A26" t="s">
        <v>3</v>
      </c>
      <c r="B26" s="1">
        <v>418</v>
      </c>
      <c r="D26" t="s">
        <v>7</v>
      </c>
      <c r="E26" s="1">
        <v>211</v>
      </c>
    </row>
    <row r="27" spans="1:6" x14ac:dyDescent="0.35">
      <c r="A27" t="s">
        <v>6</v>
      </c>
      <c r="B27" s="1">
        <v>348</v>
      </c>
      <c r="D27" t="s">
        <v>21</v>
      </c>
      <c r="E27" s="1">
        <v>206</v>
      </c>
    </row>
    <row r="28" spans="1:6" x14ac:dyDescent="0.35">
      <c r="A28" t="s">
        <v>5</v>
      </c>
      <c r="B28" s="1">
        <v>141</v>
      </c>
      <c r="D28" t="s">
        <v>13</v>
      </c>
      <c r="E28" s="1">
        <v>189</v>
      </c>
    </row>
    <row r="29" spans="1:6" x14ac:dyDescent="0.35">
      <c r="A29" t="s">
        <v>20</v>
      </c>
      <c r="B29" s="1">
        <v>133</v>
      </c>
      <c r="D29" t="s">
        <v>27</v>
      </c>
      <c r="E29" s="1">
        <v>184</v>
      </c>
    </row>
    <row r="32" spans="1:6" x14ac:dyDescent="0.35">
      <c r="E32" s="1" t="s">
        <v>28</v>
      </c>
      <c r="F32" t="s">
        <v>28</v>
      </c>
    </row>
    <row r="33" spans="1:6" x14ac:dyDescent="0.35">
      <c r="A33" t="s">
        <v>15</v>
      </c>
      <c r="D33" t="s">
        <v>15</v>
      </c>
      <c r="E33" s="1" t="s">
        <v>28</v>
      </c>
      <c r="F33" t="s">
        <v>28</v>
      </c>
    </row>
    <row r="34" spans="1:6" x14ac:dyDescent="0.35">
      <c r="A34" t="s">
        <v>25</v>
      </c>
      <c r="B34" s="1">
        <v>62707000</v>
      </c>
      <c r="D34" t="s">
        <v>25</v>
      </c>
      <c r="E34" s="1">
        <v>85150000</v>
      </c>
      <c r="F34" t="s">
        <v>28</v>
      </c>
    </row>
    <row r="35" spans="1:6" x14ac:dyDescent="0.35">
      <c r="A35" t="s">
        <v>26</v>
      </c>
      <c r="B35" s="2">
        <f>B36/B34*1000</f>
        <v>1.7327890028226514</v>
      </c>
      <c r="D35" t="s">
        <v>26</v>
      </c>
      <c r="E35" s="2">
        <f>E36/E34*1000</f>
        <v>1.5902290076335879</v>
      </c>
    </row>
    <row r="36" spans="1:6" x14ac:dyDescent="0.35">
      <c r="A36" t="s">
        <v>0</v>
      </c>
      <c r="B36" s="1">
        <v>108658</v>
      </c>
      <c r="D36" t="s">
        <v>0</v>
      </c>
      <c r="E36" s="1">
        <v>135408</v>
      </c>
    </row>
    <row r="37" spans="1:6" x14ac:dyDescent="0.35">
      <c r="A37" t="s">
        <v>4</v>
      </c>
      <c r="B37" s="1">
        <v>26722</v>
      </c>
      <c r="D37" t="s">
        <v>4</v>
      </c>
      <c r="E37" s="1">
        <v>44959</v>
      </c>
    </row>
    <row r="38" spans="1:6" x14ac:dyDescent="0.35">
      <c r="A38" t="s">
        <v>2</v>
      </c>
      <c r="B38" s="1">
        <v>17551</v>
      </c>
      <c r="D38" t="s">
        <v>2</v>
      </c>
      <c r="E38" s="1">
        <v>14694</v>
      </c>
    </row>
    <row r="39" spans="1:6" x14ac:dyDescent="0.35">
      <c r="A39" t="s">
        <v>1</v>
      </c>
      <c r="B39" s="1">
        <v>14513</v>
      </c>
      <c r="D39" t="s">
        <v>10</v>
      </c>
      <c r="E39" s="1">
        <v>14396</v>
      </c>
    </row>
    <row r="40" spans="1:6" x14ac:dyDescent="0.35">
      <c r="A40" t="s">
        <v>16</v>
      </c>
      <c r="B40" s="1">
        <v>10963</v>
      </c>
      <c r="D40" t="s">
        <v>1</v>
      </c>
      <c r="E40" s="1">
        <v>13922</v>
      </c>
    </row>
    <row r="41" spans="1:6" x14ac:dyDescent="0.35">
      <c r="A41" t="s">
        <v>10</v>
      </c>
      <c r="B41" s="1">
        <v>9855</v>
      </c>
      <c r="D41" t="s">
        <v>16</v>
      </c>
      <c r="E41" s="1">
        <v>8745</v>
      </c>
    </row>
    <row r="42" spans="1:6" x14ac:dyDescent="0.35">
      <c r="A42" t="s">
        <v>8</v>
      </c>
      <c r="B42" s="1">
        <v>4782</v>
      </c>
      <c r="D42" t="s">
        <v>8</v>
      </c>
      <c r="E42" s="1">
        <v>3776</v>
      </c>
    </row>
    <row r="43" spans="1:6" x14ac:dyDescent="0.35">
      <c r="A43" t="s">
        <v>3</v>
      </c>
      <c r="B43" s="1">
        <v>3154</v>
      </c>
      <c r="D43" t="s">
        <v>7</v>
      </c>
      <c r="E43" s="1">
        <v>2841</v>
      </c>
    </row>
    <row r="44" spans="1:6" x14ac:dyDescent="0.35">
      <c r="A44" t="s">
        <v>7</v>
      </c>
      <c r="B44" s="1">
        <v>1472</v>
      </c>
      <c r="D44" t="s">
        <v>3</v>
      </c>
      <c r="E44" s="1">
        <v>2426</v>
      </c>
    </row>
    <row r="45" spans="1:6" x14ac:dyDescent="0.35">
      <c r="A45" t="s">
        <v>6</v>
      </c>
      <c r="B45" s="1">
        <v>1467</v>
      </c>
      <c r="D45" t="s">
        <v>18</v>
      </c>
      <c r="E45" s="1">
        <v>1517</v>
      </c>
    </row>
    <row r="46" spans="1:6" x14ac:dyDescent="0.35">
      <c r="A46" t="s">
        <v>17</v>
      </c>
      <c r="B46" s="1">
        <v>817</v>
      </c>
      <c r="D46" t="s">
        <v>24</v>
      </c>
      <c r="E46" s="1">
        <v>1316</v>
      </c>
    </row>
    <row r="48" spans="1:6" x14ac:dyDescent="0.35">
      <c r="D48" t="s">
        <v>31</v>
      </c>
      <c r="E48" s="2">
        <f>E40/E34*1000</f>
        <v>0.16349970640046976</v>
      </c>
      <c r="F48" t="s">
        <v>28</v>
      </c>
    </row>
    <row r="49" spans="1:6" x14ac:dyDescent="0.35">
      <c r="A49" t="s">
        <v>23</v>
      </c>
      <c r="D49" t="s">
        <v>23</v>
      </c>
      <c r="E49" s="1" t="s">
        <v>28</v>
      </c>
      <c r="F49" t="s">
        <v>28</v>
      </c>
    </row>
    <row r="50" spans="1:6" x14ac:dyDescent="0.35">
      <c r="A50" t="s">
        <v>25</v>
      </c>
      <c r="B50" s="1">
        <v>44497000</v>
      </c>
      <c r="D50" t="s">
        <v>25</v>
      </c>
      <c r="E50" s="1">
        <v>84300000</v>
      </c>
      <c r="F50" t="s">
        <v>28</v>
      </c>
    </row>
    <row r="51" spans="1:6" x14ac:dyDescent="0.35">
      <c r="A51" t="s">
        <v>26</v>
      </c>
      <c r="B51" s="2">
        <f>B52/B50*1000</f>
        <v>9.5588017169696844</v>
      </c>
      <c r="D51" t="s">
        <v>26</v>
      </c>
      <c r="E51" s="2">
        <f>E52/E50*1000</f>
        <v>6.4052313167259785</v>
      </c>
    </row>
    <row r="52" spans="1:6" x14ac:dyDescent="0.35">
      <c r="A52" t="s">
        <v>0</v>
      </c>
      <c r="B52" s="1">
        <v>425338</v>
      </c>
      <c r="D52" t="s">
        <v>0</v>
      </c>
      <c r="E52" s="1">
        <v>539961</v>
      </c>
    </row>
    <row r="53" spans="1:6" x14ac:dyDescent="0.35">
      <c r="A53" t="s">
        <v>1</v>
      </c>
      <c r="B53" s="1">
        <v>148322</v>
      </c>
      <c r="D53" t="s">
        <v>2</v>
      </c>
      <c r="E53" s="1">
        <v>157655</v>
      </c>
    </row>
    <row r="54" spans="1:6" x14ac:dyDescent="0.35">
      <c r="A54" t="s">
        <v>2</v>
      </c>
      <c r="B54" s="1">
        <v>135675</v>
      </c>
      <c r="D54" t="s">
        <v>1</v>
      </c>
      <c r="E54" s="1">
        <v>112637</v>
      </c>
    </row>
    <row r="55" spans="1:6" x14ac:dyDescent="0.35">
      <c r="A55" t="s">
        <v>3</v>
      </c>
      <c r="B55" s="1">
        <v>19909</v>
      </c>
      <c r="D55" t="s">
        <v>4</v>
      </c>
      <c r="E55" s="1">
        <v>45237</v>
      </c>
    </row>
    <row r="56" spans="1:6" x14ac:dyDescent="0.35">
      <c r="A56" t="s">
        <v>4</v>
      </c>
      <c r="B56" s="1">
        <v>18140</v>
      </c>
      <c r="D56" t="s">
        <v>8</v>
      </c>
      <c r="E56" s="1">
        <v>21812</v>
      </c>
    </row>
    <row r="57" spans="1:6" x14ac:dyDescent="0.35">
      <c r="A57" t="s">
        <v>8</v>
      </c>
      <c r="B57" s="1">
        <v>16089</v>
      </c>
      <c r="D57" t="s">
        <v>11</v>
      </c>
      <c r="E57" s="1">
        <v>22117</v>
      </c>
    </row>
    <row r="58" spans="1:6" x14ac:dyDescent="0.35">
      <c r="A58" t="s">
        <v>5</v>
      </c>
      <c r="B58" s="1">
        <v>11514</v>
      </c>
      <c r="D58" t="s">
        <v>7</v>
      </c>
      <c r="E58" s="1">
        <v>20518</v>
      </c>
    </row>
    <row r="59" spans="1:6" x14ac:dyDescent="0.35">
      <c r="A59" t="s">
        <v>7</v>
      </c>
      <c r="B59" s="1">
        <v>7977</v>
      </c>
      <c r="D59" t="s">
        <v>3</v>
      </c>
      <c r="E59" s="1">
        <v>17663</v>
      </c>
    </row>
    <row r="60" spans="1:6" x14ac:dyDescent="0.35">
      <c r="A60" t="s">
        <v>10</v>
      </c>
      <c r="B60" s="1">
        <v>7079</v>
      </c>
      <c r="D60" t="s">
        <v>10</v>
      </c>
      <c r="E60" s="1">
        <v>16196</v>
      </c>
    </row>
    <row r="61" spans="1:6" x14ac:dyDescent="0.35">
      <c r="A61" t="s">
        <v>6</v>
      </c>
      <c r="B61" s="1">
        <v>5804</v>
      </c>
      <c r="D61" t="s">
        <v>24</v>
      </c>
      <c r="E61" s="1">
        <v>8413</v>
      </c>
    </row>
    <row r="62" spans="1:6" x14ac:dyDescent="0.35">
      <c r="A62" t="s">
        <v>16</v>
      </c>
      <c r="B62" s="1">
        <v>4019</v>
      </c>
      <c r="D62" t="s">
        <v>14</v>
      </c>
      <c r="E62" s="1">
        <v>7790</v>
      </c>
    </row>
    <row r="64" spans="1:6" x14ac:dyDescent="0.35">
      <c r="A64" t="s">
        <v>30</v>
      </c>
      <c r="B64" s="3">
        <f>B60/B50*1000</f>
        <v>0.15908937681191992</v>
      </c>
      <c r="D64" t="s">
        <v>29</v>
      </c>
      <c r="E64" s="4">
        <f>E60/E50*1000</f>
        <v>0.19212336892052195</v>
      </c>
    </row>
    <row r="65" spans="4:5" x14ac:dyDescent="0.35">
      <c r="D65" t="s">
        <v>31</v>
      </c>
      <c r="E65" s="3">
        <f>E54/E50*1000</f>
        <v>1.3361447212336892</v>
      </c>
    </row>
  </sheetData>
  <sortState xmlns:xlrd2="http://schemas.microsoft.com/office/spreadsheetml/2017/richdata2" ref="D38:E41">
    <sortCondition descending="1" ref="E38:E4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7128-3DCC-41C7-97D8-2DB8437DE6A5}">
  <dimension ref="A1"/>
  <sheetViews>
    <sheetView tabSelected="1" topLeftCell="A7" workbookViewId="0">
      <selection activeCell="B31" sqref="B31"/>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References &amp; short answer</vt:lpstr>
    </vt:vector>
  </TitlesOfParts>
  <Company>Liberty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Voorhis, Timothy</dc:creator>
  <cp:lastModifiedBy>Bryan Colucci</cp:lastModifiedBy>
  <dcterms:created xsi:type="dcterms:W3CDTF">2016-05-21T14:05:44Z</dcterms:created>
  <dcterms:modified xsi:type="dcterms:W3CDTF">2025-03-07T19:44:51Z</dcterms:modified>
</cp:coreProperties>
</file>
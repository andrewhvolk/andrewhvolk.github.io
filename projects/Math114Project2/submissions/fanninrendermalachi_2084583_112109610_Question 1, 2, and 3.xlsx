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libertyuniv-my.sharepoint.com/personal/mjfanninrender_liberty_edu/Documents/"/>
    </mc:Choice>
  </mc:AlternateContent>
  <xr:revisionPtr revIDLastSave="64" documentId="8_{7506F6B0-0DE8-4CB1-9EC5-9A934F61B576}" xr6:coauthVersionLast="47" xr6:coauthVersionMax="47" xr10:uidLastSave="{38AEB0D6-702F-457D-BFD4-C649465C32A1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2" i="1" l="1"/>
  <c r="B72" i="1"/>
  <c r="C67" i="1"/>
  <c r="B67" i="1"/>
  <c r="E3" i="1"/>
  <c r="B3" i="1"/>
  <c r="E18" i="1"/>
  <c r="E51" i="1"/>
  <c r="B51" i="1"/>
  <c r="E35" i="1"/>
  <c r="B35" i="1"/>
  <c r="B18" i="1"/>
</calcChain>
</file>

<file path=xl/sharedStrings.xml><?xml version="1.0" encoding="utf-8"?>
<sst xmlns="http://schemas.openxmlformats.org/spreadsheetml/2006/main" count="128" uniqueCount="34">
  <si>
    <t>All causes</t>
  </si>
  <si>
    <t>Diseases of heart</t>
  </si>
  <si>
    <t>Malignant neoplasms</t>
  </si>
  <si>
    <t>Cerebrovascular diseases</t>
  </si>
  <si>
    <t>Unintentional injuries</t>
  </si>
  <si>
    <t>Chronic obstructive pulmonary disease</t>
  </si>
  <si>
    <t>Pneumonia and influenza</t>
  </si>
  <si>
    <t>Diabetes mellitus</t>
  </si>
  <si>
    <t>Chronic liver disease and cirrhosis</t>
  </si>
  <si>
    <t>Atherosclerosis</t>
  </si>
  <si>
    <t>Suicide</t>
  </si>
  <si>
    <t>Chronic lower respiratory diseases</t>
  </si>
  <si>
    <t>Alzheimer's disease</t>
  </si>
  <si>
    <t>Influenza and pneumonia</t>
  </si>
  <si>
    <t>Nephritis, nephrotic syndrome and nephrosis</t>
  </si>
  <si>
    <t>Ages 25 - 44</t>
  </si>
  <si>
    <t>Homicide</t>
  </si>
  <si>
    <t>Congenital anomalies</t>
  </si>
  <si>
    <t>HIV disease</t>
  </si>
  <si>
    <t>Ages 15 - 24</t>
  </si>
  <si>
    <t>Anemias</t>
  </si>
  <si>
    <t>Chronic lower respiratory disease</t>
  </si>
  <si>
    <t>Congenital malformations/abnormalities</t>
  </si>
  <si>
    <t>Ages 45 - 64</t>
  </si>
  <si>
    <t>Septicemia</t>
  </si>
  <si>
    <t>Population</t>
  </si>
  <si>
    <t>Deaths</t>
  </si>
  <si>
    <t>Complicated Pregnancy</t>
  </si>
  <si>
    <t xml:space="preserve"> </t>
  </si>
  <si>
    <t>Question 2.</t>
  </si>
  <si>
    <t>Ages 25-44</t>
  </si>
  <si>
    <t>Question 3.</t>
  </si>
  <si>
    <t>Ages 45-64</t>
  </si>
  <si>
    <t>Population increased which increased dieseases like heart dieseas and cancer and more died of drug overdose.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</si>
</sst>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workbookViewId="0">
      <selection activeCell="H8" sqref="H8"/>
    </sheetView>
  </sheetViews>
  <sheetFormatPr defaultRowHeight="14.5" x14ac:dyDescent="0.35"/>
  <cols>
    <col min="1" max="1" width="38" customWidth="1"/>
    <col min="2" max="2" width="12.08984375" customWidth="1"/>
    <col min="4" max="4" width="41.90625" customWidth="1"/>
    <col min="5" max="5" width="12.36328125" customWidth="1"/>
  </cols>
  <sheetData>
    <row r="1" spans="1:5" x14ac:dyDescent="0.35">
      <c r="A1">
        <v>1980</v>
      </c>
      <c r="D1">
        <v>2016</v>
      </c>
    </row>
    <row r="2" spans="1:5" x14ac:dyDescent="0.35">
      <c r="A2" t="s">
        <v>25</v>
      </c>
      <c r="B2" s="1">
        <v>226540000</v>
      </c>
      <c r="D2" t="s">
        <v>25</v>
      </c>
      <c r="E2" s="1">
        <v>323120000</v>
      </c>
    </row>
    <row r="3" spans="1:5" x14ac:dyDescent="0.35">
      <c r="A3" t="s">
        <v>26</v>
      </c>
      <c r="B3" s="2">
        <f>SUM(B4:B14)/B2*1000</f>
        <v>16.225827668402932</v>
      </c>
      <c r="D3" t="s">
        <v>26</v>
      </c>
      <c r="E3" s="2">
        <f>SUM(E4:E14)/E2*1000</f>
        <v>14.788211809853925</v>
      </c>
    </row>
    <row r="4" spans="1:5" x14ac:dyDescent="0.35">
      <c r="A4" t="s">
        <v>0</v>
      </c>
      <c r="B4" s="1">
        <v>1989841</v>
      </c>
      <c r="D4" t="s">
        <v>0</v>
      </c>
      <c r="E4" s="1">
        <v>2744248</v>
      </c>
    </row>
    <row r="5" spans="1:5" x14ac:dyDescent="0.35">
      <c r="A5" t="s">
        <v>1</v>
      </c>
      <c r="B5" s="1">
        <v>761085</v>
      </c>
      <c r="D5" t="s">
        <v>1</v>
      </c>
      <c r="E5" s="1">
        <v>635260</v>
      </c>
    </row>
    <row r="6" spans="1:5" x14ac:dyDescent="0.35">
      <c r="A6" t="s">
        <v>2</v>
      </c>
      <c r="B6" s="1">
        <v>416509</v>
      </c>
      <c r="D6" t="s">
        <v>2</v>
      </c>
      <c r="E6" s="1">
        <v>598038</v>
      </c>
    </row>
    <row r="7" spans="1:5" x14ac:dyDescent="0.35">
      <c r="A7" t="s">
        <v>3</v>
      </c>
      <c r="B7" s="1">
        <v>170225</v>
      </c>
      <c r="D7" t="s">
        <v>4</v>
      </c>
      <c r="E7" s="1">
        <v>161374</v>
      </c>
    </row>
    <row r="8" spans="1:5" x14ac:dyDescent="0.35">
      <c r="A8" t="s">
        <v>4</v>
      </c>
      <c r="B8" s="1">
        <v>105718</v>
      </c>
      <c r="D8" t="s">
        <v>11</v>
      </c>
      <c r="E8" s="1">
        <v>154596</v>
      </c>
    </row>
    <row r="9" spans="1:5" x14ac:dyDescent="0.35">
      <c r="A9" t="s">
        <v>5</v>
      </c>
      <c r="B9" s="1">
        <v>56050</v>
      </c>
      <c r="D9" t="s">
        <v>3</v>
      </c>
      <c r="E9" s="1">
        <v>142142</v>
      </c>
    </row>
    <row r="10" spans="1:5" x14ac:dyDescent="0.35">
      <c r="A10" t="s">
        <v>6</v>
      </c>
      <c r="B10" s="1">
        <v>54619</v>
      </c>
      <c r="D10" t="s">
        <v>12</v>
      </c>
      <c r="E10" s="1">
        <v>116103</v>
      </c>
    </row>
    <row r="11" spans="1:5" x14ac:dyDescent="0.35">
      <c r="A11" t="s">
        <v>7</v>
      </c>
      <c r="B11" s="1">
        <v>34851</v>
      </c>
      <c r="D11" t="s">
        <v>7</v>
      </c>
      <c r="E11" s="1">
        <v>80058</v>
      </c>
    </row>
    <row r="12" spans="1:5" x14ac:dyDescent="0.35">
      <c r="A12" t="s">
        <v>8</v>
      </c>
      <c r="B12" s="1">
        <v>30583</v>
      </c>
      <c r="D12" t="s">
        <v>13</v>
      </c>
      <c r="E12" s="1">
        <v>51537</v>
      </c>
    </row>
    <row r="13" spans="1:5" x14ac:dyDescent="0.35">
      <c r="A13" t="s">
        <v>9</v>
      </c>
      <c r="B13" s="1">
        <v>29449</v>
      </c>
      <c r="D13" t="s">
        <v>14</v>
      </c>
      <c r="E13" s="1">
        <v>50046</v>
      </c>
    </row>
    <row r="14" spans="1:5" x14ac:dyDescent="0.35">
      <c r="A14" t="s">
        <v>10</v>
      </c>
      <c r="B14" s="1">
        <v>26869</v>
      </c>
      <c r="D14" t="s">
        <v>10</v>
      </c>
      <c r="E14" s="1">
        <v>44965</v>
      </c>
    </row>
    <row r="15" spans="1:5" x14ac:dyDescent="0.35">
      <c r="A15" t="s">
        <v>33</v>
      </c>
    </row>
    <row r="16" spans="1:5" x14ac:dyDescent="0.35">
      <c r="A16" t="s">
        <v>19</v>
      </c>
      <c r="D16" t="s">
        <v>19</v>
      </c>
    </row>
    <row r="17" spans="1:6" x14ac:dyDescent="0.35">
      <c r="A17" t="s">
        <v>25</v>
      </c>
      <c r="B17" s="1">
        <v>42475000</v>
      </c>
      <c r="D17" t="s">
        <v>25</v>
      </c>
      <c r="E17" s="1">
        <v>43500000</v>
      </c>
    </row>
    <row r="18" spans="1:6" x14ac:dyDescent="0.35">
      <c r="A18" t="s">
        <v>26</v>
      </c>
      <c r="B18" s="2">
        <f>SUM(B19:B29)/B17*1000</f>
        <v>2.1790464979399649</v>
      </c>
      <c r="D18" t="s">
        <v>26</v>
      </c>
      <c r="E18" s="2">
        <f>SUM(E19:E29)/E17*1000</f>
        <v>1.4005287356321838</v>
      </c>
    </row>
    <row r="19" spans="1:6" x14ac:dyDescent="0.35">
      <c r="A19" t="s">
        <v>0</v>
      </c>
      <c r="B19" s="1">
        <v>49027</v>
      </c>
      <c r="D19" t="s">
        <v>0</v>
      </c>
      <c r="E19" s="1">
        <v>32575</v>
      </c>
    </row>
    <row r="20" spans="1:6" x14ac:dyDescent="0.35">
      <c r="A20" t="s">
        <v>4</v>
      </c>
      <c r="B20" s="1">
        <v>26206</v>
      </c>
      <c r="D20" t="s">
        <v>4</v>
      </c>
      <c r="E20" s="1">
        <v>13895</v>
      </c>
    </row>
    <row r="21" spans="1:6" x14ac:dyDescent="0.35">
      <c r="A21" t="s">
        <v>16</v>
      </c>
      <c r="B21" s="1">
        <v>6537</v>
      </c>
      <c r="D21" t="s">
        <v>10</v>
      </c>
      <c r="E21" s="1">
        <v>5723</v>
      </c>
    </row>
    <row r="22" spans="1:6" x14ac:dyDescent="0.35">
      <c r="A22" t="s">
        <v>10</v>
      </c>
      <c r="B22" s="1">
        <v>5239</v>
      </c>
      <c r="D22" t="s">
        <v>16</v>
      </c>
      <c r="E22" s="1">
        <v>5172</v>
      </c>
    </row>
    <row r="23" spans="1:6" x14ac:dyDescent="0.35">
      <c r="A23" t="s">
        <v>2</v>
      </c>
      <c r="B23" s="1">
        <v>2683</v>
      </c>
      <c r="D23" t="s">
        <v>2</v>
      </c>
      <c r="E23" s="1">
        <v>1431</v>
      </c>
    </row>
    <row r="24" spans="1:6" x14ac:dyDescent="0.35">
      <c r="A24" t="s">
        <v>1</v>
      </c>
      <c r="B24" s="1">
        <v>1223</v>
      </c>
      <c r="D24" t="s">
        <v>1</v>
      </c>
      <c r="E24" s="1">
        <v>949</v>
      </c>
    </row>
    <row r="25" spans="1:6" x14ac:dyDescent="0.35">
      <c r="A25" t="s">
        <v>17</v>
      </c>
      <c r="B25" s="1">
        <v>600</v>
      </c>
      <c r="D25" t="s">
        <v>22</v>
      </c>
      <c r="E25" s="1">
        <v>388</v>
      </c>
    </row>
    <row r="26" spans="1:6" x14ac:dyDescent="0.35">
      <c r="A26" t="s">
        <v>3</v>
      </c>
      <c r="B26" s="1">
        <v>418</v>
      </c>
      <c r="D26" t="s">
        <v>7</v>
      </c>
      <c r="E26" s="1">
        <v>211</v>
      </c>
    </row>
    <row r="27" spans="1:6" x14ac:dyDescent="0.35">
      <c r="A27" t="s">
        <v>6</v>
      </c>
      <c r="B27" s="1">
        <v>348</v>
      </c>
      <c r="D27" t="s">
        <v>21</v>
      </c>
      <c r="E27" s="1">
        <v>206</v>
      </c>
    </row>
    <row r="28" spans="1:6" x14ac:dyDescent="0.35">
      <c r="A28" t="s">
        <v>5</v>
      </c>
      <c r="B28" s="1">
        <v>141</v>
      </c>
      <c r="D28" t="s">
        <v>13</v>
      </c>
      <c r="E28" s="1">
        <v>189</v>
      </c>
    </row>
    <row r="29" spans="1:6" x14ac:dyDescent="0.35">
      <c r="A29" t="s">
        <v>20</v>
      </c>
      <c r="B29" s="1">
        <v>133</v>
      </c>
      <c r="D29" t="s">
        <v>27</v>
      </c>
      <c r="E29" s="1">
        <v>184</v>
      </c>
    </row>
    <row r="32" spans="1:6" x14ac:dyDescent="0.35">
      <c r="E32" s="1" t="s">
        <v>28</v>
      </c>
      <c r="F32" t="s">
        <v>28</v>
      </c>
    </row>
    <row r="33" spans="1:6" x14ac:dyDescent="0.35">
      <c r="A33" t="s">
        <v>15</v>
      </c>
      <c r="D33" t="s">
        <v>15</v>
      </c>
      <c r="E33" s="1" t="s">
        <v>28</v>
      </c>
      <c r="F33" t="s">
        <v>28</v>
      </c>
    </row>
    <row r="34" spans="1:6" x14ac:dyDescent="0.35">
      <c r="A34" t="s">
        <v>25</v>
      </c>
      <c r="B34" s="1">
        <v>62707000</v>
      </c>
      <c r="D34" t="s">
        <v>25</v>
      </c>
      <c r="E34" s="1">
        <v>85150000</v>
      </c>
      <c r="F34" t="s">
        <v>28</v>
      </c>
    </row>
    <row r="35" spans="1:6" x14ac:dyDescent="0.35">
      <c r="A35" t="s">
        <v>26</v>
      </c>
      <c r="B35" s="2">
        <f>SUM(B36:B46)/B34*1000</f>
        <v>3.1887030156122922</v>
      </c>
      <c r="D35" t="s">
        <v>26</v>
      </c>
      <c r="E35" s="2">
        <f>SUM(E36:E46)/E34*1000</f>
        <v>2.8655314151497357</v>
      </c>
    </row>
    <row r="36" spans="1:6" x14ac:dyDescent="0.35">
      <c r="A36" t="s">
        <v>0</v>
      </c>
      <c r="B36" s="1">
        <v>108658</v>
      </c>
      <c r="D36" t="s">
        <v>0</v>
      </c>
      <c r="E36" s="1">
        <v>135408</v>
      </c>
    </row>
    <row r="37" spans="1:6" x14ac:dyDescent="0.35">
      <c r="A37" t="s">
        <v>4</v>
      </c>
      <c r="B37" s="1">
        <v>26722</v>
      </c>
      <c r="D37" t="s">
        <v>4</v>
      </c>
      <c r="E37" s="1">
        <v>44959</v>
      </c>
    </row>
    <row r="38" spans="1:6" x14ac:dyDescent="0.35">
      <c r="A38" t="s">
        <v>2</v>
      </c>
      <c r="B38" s="1">
        <v>17551</v>
      </c>
      <c r="D38" t="s">
        <v>2</v>
      </c>
      <c r="E38" s="1">
        <v>14694</v>
      </c>
    </row>
    <row r="39" spans="1:6" x14ac:dyDescent="0.35">
      <c r="A39" t="s">
        <v>1</v>
      </c>
      <c r="B39" s="1">
        <v>14513</v>
      </c>
      <c r="D39" t="s">
        <v>10</v>
      </c>
      <c r="E39" s="1">
        <v>14396</v>
      </c>
    </row>
    <row r="40" spans="1:6" x14ac:dyDescent="0.35">
      <c r="A40" t="s">
        <v>16</v>
      </c>
      <c r="B40" s="1">
        <v>10963</v>
      </c>
      <c r="D40" t="s">
        <v>1</v>
      </c>
      <c r="E40" s="1">
        <v>13922</v>
      </c>
    </row>
    <row r="41" spans="1:6" x14ac:dyDescent="0.35">
      <c r="A41" t="s">
        <v>10</v>
      </c>
      <c r="B41" s="1">
        <v>9855</v>
      </c>
      <c r="D41" t="s">
        <v>16</v>
      </c>
      <c r="E41" s="1">
        <v>8745</v>
      </c>
    </row>
    <row r="42" spans="1:6" x14ac:dyDescent="0.35">
      <c r="A42" t="s">
        <v>8</v>
      </c>
      <c r="B42" s="1">
        <v>4782</v>
      </c>
      <c r="D42" t="s">
        <v>8</v>
      </c>
      <c r="E42" s="1">
        <v>3776</v>
      </c>
    </row>
    <row r="43" spans="1:6" x14ac:dyDescent="0.35">
      <c r="A43" t="s">
        <v>3</v>
      </c>
      <c r="B43" s="1">
        <v>3154</v>
      </c>
      <c r="D43" t="s">
        <v>7</v>
      </c>
      <c r="E43" s="1">
        <v>2841</v>
      </c>
    </row>
    <row r="44" spans="1:6" x14ac:dyDescent="0.35">
      <c r="A44" t="s">
        <v>7</v>
      </c>
      <c r="B44" s="1">
        <v>1472</v>
      </c>
      <c r="D44" t="s">
        <v>3</v>
      </c>
      <c r="E44" s="1">
        <v>2426</v>
      </c>
    </row>
    <row r="45" spans="1:6" x14ac:dyDescent="0.35">
      <c r="A45" t="s">
        <v>6</v>
      </c>
      <c r="B45" s="1">
        <v>1467</v>
      </c>
      <c r="D45" t="s">
        <v>18</v>
      </c>
      <c r="E45" s="1">
        <v>1517</v>
      </c>
    </row>
    <row r="46" spans="1:6" x14ac:dyDescent="0.35">
      <c r="A46" t="s">
        <v>17</v>
      </c>
      <c r="B46" s="1">
        <v>817</v>
      </c>
      <c r="D46" t="s">
        <v>24</v>
      </c>
      <c r="E46" s="1">
        <v>1316</v>
      </c>
    </row>
    <row r="48" spans="1:6" x14ac:dyDescent="0.35">
      <c r="E48" s="1" t="s">
        <v>28</v>
      </c>
      <c r="F48" t="s">
        <v>28</v>
      </c>
    </row>
    <row r="49" spans="1:6" x14ac:dyDescent="0.35">
      <c r="A49" t="s">
        <v>23</v>
      </c>
      <c r="D49" t="s">
        <v>23</v>
      </c>
      <c r="E49" s="1" t="s">
        <v>28</v>
      </c>
      <c r="F49" t="s">
        <v>28</v>
      </c>
    </row>
    <row r="50" spans="1:6" x14ac:dyDescent="0.35">
      <c r="A50" t="s">
        <v>25</v>
      </c>
      <c r="B50" s="1">
        <v>44497000</v>
      </c>
      <c r="D50" t="s">
        <v>25</v>
      </c>
      <c r="E50" s="1">
        <v>84300000</v>
      </c>
      <c r="F50" t="s">
        <v>28</v>
      </c>
    </row>
    <row r="51" spans="1:6" x14ac:dyDescent="0.35">
      <c r="A51" t="s">
        <v>26</v>
      </c>
      <c r="B51" s="2">
        <f>SUM(B52:B62)/B50*1000</f>
        <v>17.975728700811292</v>
      </c>
      <c r="D51" t="s">
        <v>26</v>
      </c>
      <c r="E51" s="2">
        <f>SUM(E52:E62)/E50*1000</f>
        <v>11.506512455516013</v>
      </c>
    </row>
    <row r="52" spans="1:6" x14ac:dyDescent="0.35">
      <c r="A52" t="s">
        <v>0</v>
      </c>
      <c r="B52" s="1">
        <v>425338</v>
      </c>
      <c r="D52" t="s">
        <v>0</v>
      </c>
      <c r="E52" s="1">
        <v>539961</v>
      </c>
    </row>
    <row r="53" spans="1:6" x14ac:dyDescent="0.35">
      <c r="A53" t="s">
        <v>1</v>
      </c>
      <c r="B53" s="1">
        <v>148322</v>
      </c>
      <c r="D53" t="s">
        <v>2</v>
      </c>
      <c r="E53" s="1">
        <v>157655</v>
      </c>
    </row>
    <row r="54" spans="1:6" x14ac:dyDescent="0.35">
      <c r="A54" t="s">
        <v>2</v>
      </c>
      <c r="B54" s="1">
        <v>135675</v>
      </c>
      <c r="D54" t="s">
        <v>1</v>
      </c>
      <c r="E54" s="1">
        <v>112637</v>
      </c>
    </row>
    <row r="55" spans="1:6" x14ac:dyDescent="0.35">
      <c r="A55" t="s">
        <v>3</v>
      </c>
      <c r="B55" s="1">
        <v>19909</v>
      </c>
      <c r="D55" t="s">
        <v>4</v>
      </c>
      <c r="E55" s="1">
        <v>45237</v>
      </c>
    </row>
    <row r="56" spans="1:6" x14ac:dyDescent="0.35">
      <c r="A56" t="s">
        <v>4</v>
      </c>
      <c r="B56" s="1">
        <v>18140</v>
      </c>
      <c r="D56" t="s">
        <v>8</v>
      </c>
      <c r="E56" s="1">
        <v>21812</v>
      </c>
    </row>
    <row r="57" spans="1:6" x14ac:dyDescent="0.35">
      <c r="A57" t="s">
        <v>8</v>
      </c>
      <c r="B57" s="1">
        <v>16089</v>
      </c>
      <c r="D57" t="s">
        <v>11</v>
      </c>
      <c r="E57" s="1">
        <v>22117</v>
      </c>
    </row>
    <row r="58" spans="1:6" x14ac:dyDescent="0.35">
      <c r="A58" t="s">
        <v>5</v>
      </c>
      <c r="B58" s="1">
        <v>11514</v>
      </c>
      <c r="D58" t="s">
        <v>7</v>
      </c>
      <c r="E58" s="1">
        <v>20518</v>
      </c>
    </row>
    <row r="59" spans="1:6" x14ac:dyDescent="0.35">
      <c r="A59" t="s">
        <v>7</v>
      </c>
      <c r="B59" s="1">
        <v>7977</v>
      </c>
      <c r="D59" t="s">
        <v>3</v>
      </c>
      <c r="E59" s="1">
        <v>17663</v>
      </c>
    </row>
    <row r="60" spans="1:6" x14ac:dyDescent="0.35">
      <c r="A60" t="s">
        <v>10</v>
      </c>
      <c r="B60" s="1">
        <v>7079</v>
      </c>
      <c r="D60" t="s">
        <v>10</v>
      </c>
      <c r="E60" s="1">
        <v>16196</v>
      </c>
    </row>
    <row r="61" spans="1:6" x14ac:dyDescent="0.35">
      <c r="A61" t="s">
        <v>6</v>
      </c>
      <c r="B61" s="1">
        <v>5804</v>
      </c>
      <c r="D61" t="s">
        <v>24</v>
      </c>
      <c r="E61" s="1">
        <v>8413</v>
      </c>
    </row>
    <row r="62" spans="1:6" x14ac:dyDescent="0.35">
      <c r="A62" t="s">
        <v>16</v>
      </c>
      <c r="B62" s="1">
        <v>4019</v>
      </c>
      <c r="D62" t="s">
        <v>14</v>
      </c>
      <c r="E62" s="1">
        <v>7790</v>
      </c>
    </row>
    <row r="65" spans="1:3" x14ac:dyDescent="0.35">
      <c r="A65" t="s">
        <v>29</v>
      </c>
    </row>
    <row r="66" spans="1:3" x14ac:dyDescent="0.35">
      <c r="A66" t="s">
        <v>30</v>
      </c>
      <c r="B66">
        <v>1980</v>
      </c>
      <c r="C66">
        <v>2016</v>
      </c>
    </row>
    <row r="67" spans="1:3" x14ac:dyDescent="0.35">
      <c r="A67" t="s">
        <v>3</v>
      </c>
      <c r="B67" s="3">
        <f>B43/B34*1000</f>
        <v>5.0297414961647025E-2</v>
      </c>
      <c r="C67" s="3">
        <f>E44/E34*1000</f>
        <v>2.8490898414562534E-2</v>
      </c>
    </row>
    <row r="70" spans="1:3" x14ac:dyDescent="0.35">
      <c r="A70" t="s">
        <v>31</v>
      </c>
    </row>
    <row r="71" spans="1:3" x14ac:dyDescent="0.35">
      <c r="A71">
        <v>2016</v>
      </c>
      <c r="B71" t="s">
        <v>30</v>
      </c>
      <c r="C71" t="s">
        <v>32</v>
      </c>
    </row>
    <row r="72" spans="1:3" x14ac:dyDescent="0.35">
      <c r="A72" t="s">
        <v>10</v>
      </c>
      <c r="B72" s="3">
        <f>E39/E34*1000</f>
        <v>0.16906635349383442</v>
      </c>
      <c r="C72" s="3">
        <f>E60/E50*1000</f>
        <v>0.19212336892052195</v>
      </c>
    </row>
  </sheetData>
  <sortState xmlns:xlrd2="http://schemas.microsoft.com/office/spreadsheetml/2017/richdata2" ref="D38:E41">
    <sortCondition descending="1" ref="E38:E41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af8218e-b302-4465-a993-4a39c97251b2}" enabled="0" method="" siteId="{baf8218e-b302-4465-a993-4a39c97251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Liberty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Voorhis, Timothy</dc:creator>
  <cp:lastModifiedBy>Fannin-Render, Malachi Ja’Shawn</cp:lastModifiedBy>
  <dcterms:created xsi:type="dcterms:W3CDTF">2016-05-21T14:05:44Z</dcterms:created>
  <dcterms:modified xsi:type="dcterms:W3CDTF">2025-03-06T20:44:16Z</dcterms:modified>
</cp:coreProperties>
</file>
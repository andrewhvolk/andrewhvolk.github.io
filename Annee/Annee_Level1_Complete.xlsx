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Repos\andrewhvolk.github.io\Annee\"/>
    </mc:Choice>
  </mc:AlternateContent>
  <xr:revisionPtr revIDLastSave="0" documentId="8_{8BFB95CF-D773-44C5-87CC-E0212BECC901}" xr6:coauthVersionLast="47" xr6:coauthVersionMax="47" xr10:uidLastSave="{00000000-0000-0000-0000-000000000000}"/>
  <bookViews>
    <workbookView xWindow="3420" yWindow="3420" windowWidth="23040" windowHeight="13512" activeTab="2" xr2:uid="{00000000-000D-0000-FFFF-FFFF00000000}"/>
  </bookViews>
  <sheets>
    <sheet name="Overview" sheetId="1" r:id="rId1"/>
    <sheet name="Source Decisions" sheetId="2" r:id="rId2"/>
    <sheet name="Bucket Summary" sheetId="3" r:id="rId3"/>
    <sheet name="Extraction Templ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E9" i="3"/>
  <c r="D9" i="3"/>
  <c r="F9" i="3" s="1"/>
  <c r="E8" i="3"/>
  <c r="D8" i="3"/>
  <c r="G8" i="3" s="1"/>
  <c r="E7" i="3"/>
  <c r="D7" i="3"/>
  <c r="G7" i="3" s="1"/>
  <c r="G6" i="3"/>
  <c r="E6" i="3"/>
  <c r="D6" i="3"/>
  <c r="F6" i="3" s="1"/>
  <c r="G5" i="3"/>
  <c r="E5" i="3"/>
  <c r="F5" i="3" s="1"/>
  <c r="D5" i="3"/>
  <c r="E4" i="3"/>
  <c r="D4" i="3"/>
  <c r="G4" i="3" s="1"/>
  <c r="G9" i="1"/>
  <c r="H9" i="1" s="1"/>
  <c r="B9" i="1"/>
  <c r="G8" i="1"/>
  <c r="H8" i="1" s="1"/>
  <c r="B8" i="1"/>
  <c r="G7" i="1"/>
  <c r="H7" i="1" s="1"/>
  <c r="B7" i="1"/>
  <c r="G6" i="1"/>
  <c r="H6" i="1" s="1"/>
  <c r="B6" i="1"/>
  <c r="G5" i="1"/>
  <c r="H5" i="1" s="1"/>
  <c r="B5" i="1"/>
  <c r="F4" i="3" l="1"/>
  <c r="F8" i="3"/>
  <c r="F7" i="3"/>
</calcChain>
</file>

<file path=xl/sharedStrings.xml><?xml version="1.0" encoding="utf-8"?>
<sst xmlns="http://schemas.openxmlformats.org/spreadsheetml/2006/main" count="445" uniqueCount="228">
  <si>
    <t>MASLD Diagnostic Gap Literature Review — Source Pool Overview</t>
  </si>
  <si>
    <t>Updated after reviewing Annee’s RefWorks folder and adding the helpful method/documentation sources from the search guide.</t>
  </si>
  <si>
    <t>Metric</t>
  </si>
  <si>
    <t>Formula / Value</t>
  </si>
  <si>
    <t>Interpretation</t>
  </si>
  <si>
    <t>Bucket</t>
  </si>
  <si>
    <t>Meaning</t>
  </si>
  <si>
    <t>Support Count</t>
  </si>
  <si>
    <t>Status</t>
  </si>
  <si>
    <t>Total entries</t>
  </si>
  <si>
    <t>All rows including Keep, Maybe, and Toss</t>
  </si>
  <si>
    <t>A</t>
  </si>
  <si>
    <t>ICD diagnostic gap / undercoding</t>
  </si>
  <si>
    <t>Keep</t>
  </si>
  <si>
    <t>Primary extraction pool</t>
  </si>
  <si>
    <t>B</t>
  </si>
  <si>
    <t>FLI / HSI computable steatosis phenotype</t>
  </si>
  <si>
    <t>Maybe</t>
  </si>
  <si>
    <t>Secondary / optional sources</t>
  </si>
  <si>
    <t>C</t>
  </si>
  <si>
    <t>FIB-4 hidden fibrosis risk</t>
  </si>
  <si>
    <t>Toss</t>
  </si>
  <si>
    <t>Do not extract</t>
  </si>
  <si>
    <t>D</t>
  </si>
  <si>
    <t>SDOH, access, and missed diagnosis</t>
  </si>
  <si>
    <t>Keep + Maybe</t>
  </si>
  <si>
    <t>Usable working pool</t>
  </si>
  <si>
    <t>E</t>
  </si>
  <si>
    <t>All of Us / OMOP feasibility</t>
  </si>
  <si>
    <t>Guide target</t>
  </si>
  <si>
    <t>18–25 total sources</t>
  </si>
  <si>
    <t>This pool now fits the Ready-to-Write target</t>
  </si>
  <si>
    <t>Recommended next step: extract the 19 Keep sources first. Use the 3 Maybe sources only if the writing needs broader context, All of Us program background, or terminology.</t>
  </si>
  <si>
    <t>Annee MASLD Diagnostic Gap Literature Review — Source Decisions</t>
  </si>
  <si>
    <t>Cleaned working pool: Guerrero is marked Toss; key method/documentation sources from the guide are added; Keep sources are prioritized for extraction.</t>
  </si>
  <si>
    <t>Support Flags for Summary Formulas</t>
  </si>
  <si>
    <t>ID</t>
  </si>
  <si>
    <t>Source</t>
  </si>
  <si>
    <t>Year</t>
  </si>
  <si>
    <t>Primary Bucket</t>
  </si>
  <si>
    <t>Secondary Buckets</t>
  </si>
  <si>
    <t>Decision</t>
  </si>
  <si>
    <t>Extraction Priority</t>
  </si>
  <si>
    <t>Use in Review</t>
  </si>
  <si>
    <t>Dataset/Setting</t>
  </si>
  <si>
    <t>Why It Matters</t>
  </si>
  <si>
    <t>Mentor Note</t>
  </si>
  <si>
    <t>DOI/URL</t>
  </si>
  <si>
    <t>Support Codes</t>
  </si>
  <si>
    <t>A flag</t>
  </si>
  <si>
    <t>B flag</t>
  </si>
  <si>
    <t>C flag</t>
  </si>
  <si>
    <t>D flag</t>
  </si>
  <si>
    <t>E flag</t>
  </si>
  <si>
    <t>Adejumo et al., 2019 — Prevalence, trends, outcomes, and disparities in hospitalizations for nonalcoholic fatty liver disease in the United States</t>
  </si>
  <si>
    <t>Optional / secondary</t>
  </si>
  <si>
    <t>SDOH/disparities/outcomes</t>
  </si>
  <si>
    <t>U.S. hospitalizations</t>
  </si>
  <si>
    <t>Useful for disparities and outcomes, but less directly about missed diagnosis, screening, referral, or coding.</t>
  </si>
  <si>
    <t>Hold as a secondary disparities/outcomes citation if the writing needs broader context.</t>
  </si>
  <si>
    <t>https://doi.org/10.20524/aog.2019.0402</t>
  </si>
  <si>
    <t>Alexander et al., 2018 — Real-world data reveal a diagnostic gap in non-alcoholic fatty liver disease</t>
  </si>
  <si>
    <t>Core extraction</t>
  </si>
  <si>
    <t>Primary care / real-world databases</t>
  </si>
  <si>
    <t>Core diagnostic-gap source showing recorded NAFLD prevalence was much lower than expected in real-world data.</t>
  </si>
  <si>
    <t>Use as an anchor source for underdiagnosis/under-recording.</t>
  </si>
  <si>
    <t>https://doi.org/10.1186/s12916-018-1103-x</t>
  </si>
  <si>
    <t>Behari et al., 2024 — Limitations of Noninvasive Tests-Based Population-Level Risk Stratification Strategy for Nonalcoholic Fatty Liver Disease</t>
  </si>
  <si>
    <t>C; E</t>
  </si>
  <si>
    <t>FLI/HSI phenotype; FIB-4 risk; EHR feasibility limits</t>
  </si>
  <si>
    <t>EHR-based population-level risk stratification</t>
  </si>
  <si>
    <t>Tests HSI, FIB-4, and NFS in a population-level EHR strategy and highlights missing EHR data as a practical limitation.</t>
  </si>
  <si>
    <t>High-value bridge source for biomarker indices and EHR feasibility.</t>
  </si>
  <si>
    <t>https://doi.org/10.1007/s10620-023-08186-8</t>
  </si>
  <si>
    <t>B;C;E</t>
  </si>
  <si>
    <t>Chen et al., 2023 — Validation of NAFLD-related steatosis indices in MAFLD and comparison of diagnostic accuracy between NAFLD and MAFLD</t>
  </si>
  <si>
    <t>FLI/HSI computable steatosis phenotype</t>
  </si>
  <si>
    <t>NHANES / cross-sectional survey</t>
  </si>
  <si>
    <t>Supports validation and comparison of NAFLD-related steatosis indices, including HSI and FLI.</t>
  </si>
  <si>
    <t>Use in methods justification for computable steatosis phenotypes.</t>
  </si>
  <si>
    <t>https://doi.org/10.1097/MEG.0000000000002497</t>
  </si>
  <si>
    <t>Genomic data in the All of Us Research Program, 2024</t>
  </si>
  <si>
    <t>All of Us background</t>
  </si>
  <si>
    <t>All of Us Research Program</t>
  </si>
  <si>
    <t>Useful for All of Us scale, diversity, and program background, but not the best source for OMOP/EHR/measurement-table methods.</t>
  </si>
  <si>
    <t>Use only if the paper needs a brief All of Us program overview.</t>
  </si>
  <si>
    <t>https://doi.org/10.1038/s41586-023-06957-x</t>
  </si>
  <si>
    <t>Guerrero et al., 2026 — Burden and Health System Challenges in MASLD Across East and Southeast Asia: A Narrative Review</t>
  </si>
  <si>
    <t>Background</t>
  </si>
  <si>
    <t>Global burden / narrative background</t>
  </si>
  <si>
    <t>Narrative review; East and Southeast Asia</t>
  </si>
  <si>
    <t>Too broad and geographically indirect for a U.S. All of Us EHR diagnostic-gap study.</t>
  </si>
  <si>
    <t>Remove from core pool unless a later global-burden sentence needs it.</t>
  </si>
  <si>
    <t>https://doi.org/10.1002/hsr2.72304</t>
  </si>
  <si>
    <t>Hayward et al., 2021 — Detecting NAFLD and risk factors in health databases: accuracy and limitations of the ICD-10-AM</t>
  </si>
  <si>
    <t>ICD diagnostic gap / coding limitations</t>
  </si>
  <si>
    <t>Health databases / EHR</t>
  </si>
  <si>
    <t>Supports the limitations of ICD-based NAFLD detection in health databases.</t>
  </si>
  <si>
    <t>Use with Alexander and Rodriguez for the coding/diagnostic-gap section.</t>
  </si>
  <si>
    <t>https://doi.org/10.1136/bmjgast-2020-000572</t>
  </si>
  <si>
    <t>Kim et al., 2024 — Screening for social determinants of health among populations at risk for MASLD: a scoping review</t>
  </si>
  <si>
    <t>SDOH/access/missed recognition</t>
  </si>
  <si>
    <t>Scoping review</t>
  </si>
  <si>
    <t>Directly supports the rationale for including SDOH among populations with or at risk for MASLD.</t>
  </si>
  <si>
    <t>Better fit for RQ3 than broad disparities/outcomes papers.</t>
  </si>
  <si>
    <t>https://doi.org/10.3389/fpubh.2024.1332870</t>
  </si>
  <si>
    <t>Kjaergaard et al., 2023 — Using the ELF test, FIB-4 and NAFLD fibrosis score to screen the population for liver disease</t>
  </si>
  <si>
    <t>Population screening study</t>
  </si>
  <si>
    <t>Strong population-screening source supporting FIB-4 as a first-pass fibrosis-risk tool.</t>
  </si>
  <si>
    <t>Use in the FIB-4 rationale and limitations section.</t>
  </si>
  <si>
    <t>https://doi.org/10.1016/j.jhep.2023.04.002</t>
  </si>
  <si>
    <t>Lee et al., 2010 — Hepatic steatosis index: a simple screening tool reflecting nonalcoholic fatty liver disease</t>
  </si>
  <si>
    <t>HSI foundational source</t>
  </si>
  <si>
    <t>Index development / validation</t>
  </si>
  <si>
    <t>Foundational HSI source; useful when defining the HSI formula and threshold logic.</t>
  </si>
  <si>
    <t>Use as the primary citation for HSI definition.</t>
  </si>
  <si>
    <t>https://doi.org/10.1016/j.dld.2009.08.002</t>
  </si>
  <si>
    <t>Rodriguez et al., 2025 — Discrepancy in MASLD Prevalence in a Large Northern California Cohort</t>
  </si>
  <si>
    <t>MASLD diagnostic discrepancy</t>
  </si>
  <si>
    <t>Large Northern California clinical cohort / EHR</t>
  </si>
  <si>
    <t>Modern MASLD-focused diagnostic-discrepancy source in a large clinical cohort.</t>
  </si>
  <si>
    <t>Use as the current terminology counterpart to older NAFLD diagnostic-gap sources.</t>
  </si>
  <si>
    <t>https://doi.org/10.1016/j.gastha.2025.100630</t>
  </si>
  <si>
    <t>Said et al., 2013 — Primary care practitioners survey of non-alcoholic fatty liver disease</t>
  </si>
  <si>
    <t>Recognition gap / provider awareness</t>
  </si>
  <si>
    <t>Primary care practitioner survey</t>
  </si>
  <si>
    <t>Supports the idea that provider awareness and screening behavior may contribute to missed recognition.</t>
  </si>
  <si>
    <t>Use carefully as recognition/context evidence, not as a direct EHR undercoding study.</t>
  </si>
  <si>
    <t>https://pubmed.ncbi.nlm.nih.gov/24018493/</t>
  </si>
  <si>
    <t>Schneider et al., 2023 — Large-scale identification of undiagnosed hepatic steatosis using natural language processing</t>
  </si>
  <si>
    <t>Methods</t>
  </si>
  <si>
    <t>Undiagnosed steatosis / EHR methods</t>
  </si>
  <si>
    <t>Large-scale EHR / NLP</t>
  </si>
  <si>
    <t>Excellent evidence that hidden steatosis can be identified in EHR data beyond diagnosis codes.</t>
  </si>
  <si>
    <t>Use as a methods-adjacent diagnostic-gap source.</t>
  </si>
  <si>
    <t>https://doi.org/10.1016/j.eclinm.2023.102149</t>
  </si>
  <si>
    <t>A;Methods</t>
  </si>
  <si>
    <t>Schreiner et al., 2022 — The Association of Fibrosis-4 Index Scores with Severe Liver Outcomes in Primary Care</t>
  </si>
  <si>
    <t>FIB-4 severe liver outcome risk</t>
  </si>
  <si>
    <t>Primary care cohort</t>
  </si>
  <si>
    <t>Shows FIB-4 risk categories are associated with severe liver outcomes in primary care.</t>
  </si>
  <si>
    <t>Use to justify FIB-4 risk stratification among uncoded participants.</t>
  </si>
  <si>
    <t>https://doi.org/10.1007/s11606-021-07341-z</t>
  </si>
  <si>
    <t>Shaik &amp; Rotman, 2025 — Poor Sensitivity of the Fatty Liver Index Among Lean Individuals</t>
  </si>
  <si>
    <t>FLI limitation source</t>
  </si>
  <si>
    <t>Steatosis-index performance / limitation</t>
  </si>
  <si>
    <t>Important limitation source showing that FLI may perform poorly among lean individuals.</t>
  </si>
  <si>
    <t>Use to avoid overclaiming the accuracy of FLI across all body types.</t>
  </si>
  <si>
    <t>https://doi.org/10.14309/ajg.0000000000003883</t>
  </si>
  <si>
    <t>Tincopa et al., 2025 — Disparities in screening and risk stratification for Hispanic adults with MASLD</t>
  </si>
  <si>
    <t>Disparities in screening/risk stratification</t>
  </si>
  <si>
    <t>MASLD screening/risk stratification cohort</t>
  </si>
  <si>
    <t>Strong source connecting disparities with screening and risk stratification, with relevance to FIB-4/NIT interpretation.</t>
  </si>
  <si>
    <t>Use in both RQ3 and the FIB-4/NIT limitation discussion.</t>
  </si>
  <si>
    <t>https://doi.org/10.1097/HEP.0000000000001121</t>
  </si>
  <si>
    <t>D;C</t>
  </si>
  <si>
    <t>All of Us: Understanding OMOP Basics</t>
  </si>
  <si>
    <t>All of Us documentation</t>
  </si>
  <si>
    <t>Directly supports the claim that All of Us uses OMOP to standardize research data structure.</t>
  </si>
  <si>
    <t>Use in the methods/data-source section.</t>
  </si>
  <si>
    <t>https://support.researchallofus.org/hc/en-us/articles/360039585391-Understanding-OMOP-Basics</t>
  </si>
  <si>
    <t>All of Us: Data Types and Organization</t>
  </si>
  <si>
    <t>All of Us data organization</t>
  </si>
  <si>
    <t>Explains relevant data types such as surveys, physical measurements, EHR data, conditions, measurements, visits, and observations.</t>
  </si>
  <si>
    <t>Use to justify feasibility of condition-code, measurement, and SDOH-variable extraction.</t>
  </si>
  <si>
    <t>https://support.researchallofus.org/hc/en-us/articles/4619151535508-Data-Types-and-Organization</t>
  </si>
  <si>
    <t>OHDSI OMOP Common Data Model Documentation</t>
  </si>
  <si>
    <t>OMOP table structure / CDM reference</t>
  </si>
  <si>
    <t>OHDSI OMOP CDM documentation</t>
  </si>
  <si>
    <t>Provides broader OMOP CDM documentation for condition, measurement, observation, visit, and related tables.</t>
  </si>
  <si>
    <t>Use as a general OMOP methods citation or reference point.</t>
  </si>
  <si>
    <t>https://www.ohdsi.org/web/wiki/doku.php?id=documentation:cdm:single-page</t>
  </si>
  <si>
    <t>All of Us: Introduction to All of Us Electronic Health Record (EHR) Collection and Data Transformation Methods</t>
  </si>
  <si>
    <t>EHR collection and transformation methods</t>
  </si>
  <si>
    <t>Directly supports how EHR data are collected, transformed, and represented for analysis in the All of Us CDR.</t>
  </si>
  <si>
    <t>Use with OMOP Basics and Data Types to support the methods/data-source section.</t>
  </si>
  <si>
    <t>https://support.researchallofus.org/hc/en-us/articles/30125602539284-Introduction-to-All-of-Us-Electronic-Health-Record-EHR-Collection-and-Data-Transformation-Methods</t>
  </si>
  <si>
    <t>Bedogni et al., 2006 — The Fatty Liver Index: a simple and accurate predictor of hepatic steatosis in the general population</t>
  </si>
  <si>
    <t>FLI foundational source</t>
  </si>
  <si>
    <t>General population / index development</t>
  </si>
  <si>
    <t>Original FLI source; necessary when defining the FLI formula, variables, and threshold logic.</t>
  </si>
  <si>
    <t>Use as the primary citation for FLI definition.</t>
  </si>
  <si>
    <t>https://pmc.ncbi.nlm.nih.gov/articles/PMC1636651/</t>
  </si>
  <si>
    <t>B;Methods</t>
  </si>
  <si>
    <t>AASLD Practice Guidance on the clinical assessment and management of NAFLD</t>
  </si>
  <si>
    <t>Non-invasive testing and fibrosis-risk context</t>
  </si>
  <si>
    <t>Practice guidance</t>
  </si>
  <si>
    <t>Authoritative clinical context for non-invasive testing and FIB-4 risk stratification.</t>
  </si>
  <si>
    <t>Use to frame FIB-4 categories and avoid overstating what screening indices can prove.</t>
  </si>
  <si>
    <t>https://pmc.ncbi.nlm.nih.gov/articles/PMC10735173/</t>
  </si>
  <si>
    <t>C;Methods</t>
  </si>
  <si>
    <t>AASLD: New MASLD Nomenclature</t>
  </si>
  <si>
    <t>Terminology</t>
  </si>
  <si>
    <t>Optional / terminology</t>
  </si>
  <si>
    <t>MASLD terminology note</t>
  </si>
  <si>
    <t>Professional society terminology page</t>
  </si>
  <si>
    <t>Useful for one brief terminology sentence explaining the shift from NAFLD to MASLD.</t>
  </si>
  <si>
    <t>Use sparingly; do not let nomenclature become a major literature-review section.</t>
  </si>
  <si>
    <t>https://www.aasld.org/new-masld-nomenclature</t>
  </si>
  <si>
    <t>Background;Terminology</t>
  </si>
  <si>
    <t>Bucket Coverage Summary</t>
  </si>
  <si>
    <t>Purpose</t>
  </si>
  <si>
    <t>Guide Target</t>
  </si>
  <si>
    <t>Keep Support Count</t>
  </si>
  <si>
    <t>Maybe Support Count</t>
  </si>
  <si>
    <t>Total Support Count</t>
  </si>
  <si>
    <t>Coverage Note</t>
  </si>
  <si>
    <t>5–7 final; at least 5 strong by Ready-to-Write</t>
  </si>
  <si>
    <t>4–5 final</t>
  </si>
  <si>
    <t>3–5 final</t>
  </si>
  <si>
    <t>2–4 final</t>
  </si>
  <si>
    <t>Background / Terminology</t>
  </si>
  <si>
    <t>Brief context only</t>
  </si>
  <si>
    <t>Use sparingly</t>
  </si>
  <si>
    <t>Extraction Template — Complete for Keep Sources First</t>
  </si>
  <si>
    <t>Source ID</t>
  </si>
  <si>
    <t>Citation</t>
  </si>
  <si>
    <t>Dataset / Setting</t>
  </si>
  <si>
    <t>Sample Size</t>
  </si>
  <si>
    <t>Code-Based Definition</t>
  </si>
  <si>
    <t>Biomarker / Index Method</t>
  </si>
  <si>
    <t>Gap Metric</t>
  </si>
  <si>
    <t>SDOH / Access Variables</t>
  </si>
  <si>
    <t>Main Relevant Finding</t>
  </si>
  <si>
    <t>Limitations</t>
  </si>
  <si>
    <t>Use in Paper</t>
  </si>
  <si>
    <t>Extraction Status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</si>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</sst>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3E4C59"/>
      <name val="Carlito"/>
    </font>
    <font>
      <b/>
      <sz val="11"/>
      <color rgb="FFFFFFFF"/>
      <name val="Carlito"/>
    </font>
    <font>
      <b/>
      <sz val="11"/>
      <color rgb="FF17324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5F8F"/>
      </patternFill>
    </fill>
    <fill>
      <patternFill patternType="solid">
        <fgColor rgb="FFEA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bgColor rgb="FFEAF7EE"/>
        </patternFill>
      </fill>
    </dxf>
    <dxf>
      <fill>
        <patternFill patternType="solid">
          <bgColor rgb="FFFFF5E6"/>
        </patternFill>
      </fill>
    </dxf>
    <dxf>
      <fill>
        <patternFill patternType="solid">
          <bgColor rgb="FFFDEDEC"/>
        </patternFill>
      </fill>
    </dxf>
    <dxf>
      <font>
        <b/>
        <color rgb="FF991B1B"/>
      </font>
      <fill>
        <patternFill patternType="solid">
          <bgColor rgb="FFFDEDEC"/>
        </patternFill>
      </fill>
    </dxf>
    <dxf>
      <font>
        <b/>
        <color rgb="FF92400E"/>
      </font>
      <fill>
        <patternFill patternType="solid">
          <bgColor rgb="FFFFF5E6"/>
        </patternFill>
      </fill>
    </dxf>
    <dxf>
      <font>
        <b/>
        <color rgb="FF166534"/>
      </font>
      <fill>
        <patternFill patternType="solid">
          <bgColor rgb="FFEAF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ecisionsTable" displayName="SourceDecisionsTable" ref="A4:M27">
  <tableColumns count="13">
    <tableColumn id="1" xr3:uid="{00000000-0010-0000-0000-000001000000}" name="ID"/>
    <tableColumn id="2" xr3:uid="{00000000-0010-0000-0000-000002000000}" name="Source"/>
    <tableColumn id="3" xr3:uid="{00000000-0010-0000-0000-000003000000}" name="Year"/>
    <tableColumn id="4" xr3:uid="{00000000-0010-0000-0000-000004000000}" name="Primary Bucket"/>
    <tableColumn id="5" xr3:uid="{00000000-0010-0000-0000-000005000000}" name="Secondary Buckets"/>
    <tableColumn id="6" xr3:uid="{00000000-0010-0000-0000-000006000000}" name="Decision"/>
    <tableColumn id="7" xr3:uid="{00000000-0010-0000-0000-000007000000}" name="Extraction Priority"/>
    <tableColumn id="8" xr3:uid="{00000000-0010-0000-0000-000008000000}" name="Use in Review"/>
    <tableColumn id="9" xr3:uid="{00000000-0010-0000-0000-000009000000}" name="Dataset/Setting"/>
    <tableColumn id="10" xr3:uid="{00000000-0010-0000-0000-00000A000000}" name="Why It Matters"/>
    <tableColumn id="11" xr3:uid="{00000000-0010-0000-0000-00000B000000}" name="Mentor Note"/>
    <tableColumn id="12" xr3:uid="{00000000-0010-0000-0000-00000C000000}" name="DOI/URL"/>
    <tableColumn id="13" xr3:uid="{00000000-0010-0000-0000-00000D000000}" name="Support Cod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tractionTemplateTable" displayName="ExtractionTemplateTable" ref="A3:N22">
  <tableColumns count="14">
    <tableColumn id="1" xr3:uid="{00000000-0010-0000-0100-000001000000}" name="Source ID"/>
    <tableColumn id="2" xr3:uid="{00000000-0010-0000-0100-000002000000}" name="Citation"/>
    <tableColumn id="3" xr3:uid="{00000000-0010-0000-0100-000003000000}" name="Primary Bucket"/>
    <tableColumn id="4" xr3:uid="{00000000-0010-0000-0100-000004000000}" name="Decision"/>
    <tableColumn id="5" xr3:uid="{00000000-0010-0000-0100-000005000000}" name="Dataset / Setting"/>
    <tableColumn id="6" xr3:uid="{00000000-0010-0000-0100-000006000000}" name="Sample Size"/>
    <tableColumn id="7" xr3:uid="{00000000-0010-0000-0100-000007000000}" name="Code-Based Definition"/>
    <tableColumn id="8" xr3:uid="{00000000-0010-0000-0100-000008000000}" name="Biomarker / Index Method"/>
    <tableColumn id="9" xr3:uid="{00000000-0010-0000-0100-000009000000}" name="Gap Metric"/>
    <tableColumn id="10" xr3:uid="{00000000-0010-0000-0100-00000A000000}" name="SDOH / Access Variables"/>
    <tableColumn id="11" xr3:uid="{00000000-0010-0000-0100-00000B000000}" name="Main Relevant Finding"/>
    <tableColumn id="12" xr3:uid="{00000000-0010-0000-0100-00000C000000}" name="Limitations"/>
    <tableColumn id="13" xr3:uid="{00000000-0010-0000-0100-00000D000000}" name="Use in Paper"/>
    <tableColumn id="14" xr3:uid="{00000000-0010-0000-0100-00000E000000}" name="Extrac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defaultRowHeight="13.8"/>
  <cols>
    <col min="1" max="1" width="22" customWidth="1"/>
    <col min="2" max="2" width="16" customWidth="1"/>
    <col min="3" max="3" width="38" customWidth="1"/>
    <col min="5" max="5" width="12" customWidth="1"/>
    <col min="6" max="6" width="38" customWidth="1"/>
    <col min="7" max="7" width="16" customWidth="1"/>
    <col min="8" max="8" width="18" customWidth="1"/>
  </cols>
  <sheetData>
    <row r="1" spans="1:8" ht="22.35" customHeight="1">
      <c r="A1" s="8" t="s">
        <v>0</v>
      </c>
      <c r="B1" s="9"/>
      <c r="C1" s="9"/>
      <c r="D1" s="9"/>
      <c r="E1" s="9"/>
      <c r="F1" s="9"/>
      <c r="G1" s="9"/>
      <c r="H1" s="9"/>
    </row>
    <row r="2" spans="1:8" ht="22.35" customHeight="1">
      <c r="A2" s="10" t="s">
        <v>1</v>
      </c>
      <c r="B2" s="9"/>
      <c r="C2" s="9"/>
      <c r="D2" s="9"/>
      <c r="E2" s="9"/>
      <c r="F2" s="9"/>
      <c r="G2" s="9"/>
      <c r="H2" s="9"/>
    </row>
    <row r="4" spans="1:8" ht="12" customHeight="1">
      <c r="A4" s="5" t="s">
        <v>2</v>
      </c>
      <c r="B4" s="5" t="s">
        <v>3</v>
      </c>
      <c r="C4" s="5" t="s">
        <v>4</v>
      </c>
      <c r="D4" s="4"/>
      <c r="E4" s="5" t="s">
        <v>5</v>
      </c>
      <c r="F4" s="5" t="s">
        <v>6</v>
      </c>
      <c r="G4" s="5" t="s">
        <v>7</v>
      </c>
      <c r="H4" s="5" t="s">
        <v>8</v>
      </c>
    </row>
    <row r="5" spans="1:8" ht="12" customHeight="1">
      <c r="A5" s="4" t="s">
        <v>9</v>
      </c>
      <c r="B5" s="4">
        <f>COUNTA('Source Decisions'!$A$5:$A$27)</f>
        <v>23</v>
      </c>
      <c r="C5" s="4" t="s">
        <v>10</v>
      </c>
      <c r="D5" s="4"/>
      <c r="E5" s="4" t="s">
        <v>11</v>
      </c>
      <c r="F5" s="4" t="s">
        <v>12</v>
      </c>
      <c r="G5" s="4">
        <f>SUMIFS('Source Decisions'!$N$5:$N$27,'Source Decisions'!$F$5:$F$27,"Keep")</f>
        <v>4</v>
      </c>
      <c r="H5" s="4" t="str">
        <f>IF(G5&gt;=5,"Strong",IF(G5&gt;=3,"Adequate","Needs more"))</f>
        <v>Adequate</v>
      </c>
    </row>
    <row r="6" spans="1:8" ht="12" customHeight="1">
      <c r="A6" s="4" t="s">
        <v>13</v>
      </c>
      <c r="B6" s="4">
        <f>COUNTIF('Source Decisions'!$F$5:$F$27,"Keep")</f>
        <v>19</v>
      </c>
      <c r="C6" s="4" t="s">
        <v>14</v>
      </c>
      <c r="D6" s="4"/>
      <c r="E6" s="4" t="s">
        <v>15</v>
      </c>
      <c r="F6" s="4" t="s">
        <v>16</v>
      </c>
      <c r="G6" s="4">
        <f>SUMIFS('Source Decisions'!$O$5:$O$27,'Source Decisions'!$F$5:$F$27,"Keep")</f>
        <v>5</v>
      </c>
      <c r="H6" s="4" t="str">
        <f>IF(G6&gt;=4,"Strong",IF(G6&gt;=3,"Adequate","Needs more"))</f>
        <v>Strong</v>
      </c>
    </row>
    <row r="7" spans="1:8" ht="12" customHeight="1">
      <c r="A7" s="4" t="s">
        <v>17</v>
      </c>
      <c r="B7" s="4">
        <f>COUNTIF('Source Decisions'!$F$5:$F$27,"Maybe")</f>
        <v>3</v>
      </c>
      <c r="C7" s="4" t="s">
        <v>18</v>
      </c>
      <c r="D7" s="4"/>
      <c r="E7" s="4" t="s">
        <v>19</v>
      </c>
      <c r="F7" s="4" t="s">
        <v>20</v>
      </c>
      <c r="G7" s="4">
        <f>SUMIFS('Source Decisions'!$P$5:$P$27,'Source Decisions'!$F$5:$F$27,"Keep")</f>
        <v>5</v>
      </c>
      <c r="H7" s="4" t="str">
        <f>IF(G7&gt;=4,"Strong",IF(G7&gt;=3,"Adequate","Needs more"))</f>
        <v>Strong</v>
      </c>
    </row>
    <row r="8" spans="1:8" ht="12" customHeight="1">
      <c r="A8" s="4" t="s">
        <v>21</v>
      </c>
      <c r="B8" s="4">
        <f>COUNTIF('Source Decisions'!$F$5:$F$27,"Toss")</f>
        <v>1</v>
      </c>
      <c r="C8" s="4" t="s">
        <v>22</v>
      </c>
      <c r="D8" s="4"/>
      <c r="E8" s="4" t="s">
        <v>23</v>
      </c>
      <c r="F8" s="4" t="s">
        <v>24</v>
      </c>
      <c r="G8" s="4">
        <f>SUMIFS('Source Decisions'!$Q$5:$Q$27,'Source Decisions'!$F$5:$F$27,"Keep")</f>
        <v>3</v>
      </c>
      <c r="H8" s="4" t="str">
        <f>IF(G8&gt;=3,"Strong",IF(G8&gt;=2,"Adequate","Needs more"))</f>
        <v>Strong</v>
      </c>
    </row>
    <row r="9" spans="1:8" ht="12" customHeight="1">
      <c r="A9" s="4" t="s">
        <v>25</v>
      </c>
      <c r="B9" s="4">
        <f>COUNTIF('Source Decisions'!$F$5:$F$27,"Keep")+COUNTIF('Source Decisions'!$F$5:$F$27,"Maybe")</f>
        <v>22</v>
      </c>
      <c r="C9" s="4" t="s">
        <v>26</v>
      </c>
      <c r="D9" s="4"/>
      <c r="E9" s="4" t="s">
        <v>27</v>
      </c>
      <c r="F9" s="4" t="s">
        <v>28</v>
      </c>
      <c r="G9" s="4">
        <f>SUMIFS('Source Decisions'!$R$5:$R$27,'Source Decisions'!$F$5:$F$27,"Keep")</f>
        <v>5</v>
      </c>
      <c r="H9" s="4" t="str">
        <f>IF(G9&gt;=2,"Strong","Needs more")</f>
        <v>Strong</v>
      </c>
    </row>
    <row r="10" spans="1:8" ht="12" customHeight="1">
      <c r="A10" s="4" t="s">
        <v>29</v>
      </c>
      <c r="B10" s="4" t="s">
        <v>30</v>
      </c>
      <c r="C10" s="4" t="s">
        <v>31</v>
      </c>
      <c r="D10" s="4"/>
      <c r="E10" s="4"/>
      <c r="F10" s="4"/>
      <c r="G10" s="4"/>
      <c r="H10" s="4"/>
    </row>
    <row r="11" spans="1:8" ht="12" customHeight="1">
      <c r="A11" s="4"/>
      <c r="B11" s="4"/>
      <c r="C11" s="4"/>
      <c r="D11" s="4"/>
      <c r="E11" s="4"/>
      <c r="F11" s="4"/>
      <c r="G11" s="4"/>
      <c r="H11" s="4"/>
    </row>
    <row r="12" spans="1:8" ht="31.95" customHeight="1">
      <c r="A12" s="11" t="s">
        <v>32</v>
      </c>
      <c r="B12" s="11"/>
      <c r="C12" s="11"/>
      <c r="D12" s="11"/>
      <c r="E12" s="11"/>
      <c r="F12" s="11"/>
      <c r="G12" s="11"/>
      <c r="H12" s="11"/>
    </row>
  </sheetData>
  <mergeCells count="3">
    <mergeCell ref="A1:H1"/>
    <mergeCell ref="A2:H2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workbookViewId="0"/>
  </sheetViews>
  <sheetFormatPr defaultRowHeight="13.8"/>
  <cols>
    <col min="1" max="1" width="6" customWidth="1"/>
    <col min="2" max="2" width="46" customWidth="1"/>
    <col min="3" max="3" width="9" customWidth="1"/>
    <col min="4" max="4" width="13" customWidth="1"/>
    <col min="5" max="5" width="15" customWidth="1"/>
    <col min="6" max="6" width="12" customWidth="1"/>
    <col min="7" max="7" width="18" customWidth="1"/>
    <col min="8" max="8" width="28" customWidth="1"/>
    <col min="9" max="9" width="26" customWidth="1"/>
    <col min="10" max="10" width="42" customWidth="1"/>
    <col min="11" max="12" width="38" customWidth="1"/>
    <col min="13" max="13" width="14" customWidth="1"/>
    <col min="14" max="18" width="7" customWidth="1"/>
  </cols>
  <sheetData>
    <row r="1" spans="1:18" ht="22.35" customHeight="1">
      <c r="A1" s="8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8" ht="22.35" customHeight="1">
      <c r="A2" s="10" t="s">
        <v>34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8">
      <c r="N3" s="12" t="s">
        <v>35</v>
      </c>
      <c r="O3" s="9"/>
      <c r="P3" s="9"/>
      <c r="Q3" s="9"/>
      <c r="R3" s="9"/>
    </row>
    <row r="4" spans="1:18" ht="21.15" customHeight="1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</row>
    <row r="5" spans="1:18" ht="48" customHeight="1">
      <c r="A5" s="4">
        <v>1</v>
      </c>
      <c r="B5" s="4" t="s">
        <v>54</v>
      </c>
      <c r="C5" s="6">
        <v>2019</v>
      </c>
      <c r="D5" s="4" t="s">
        <v>23</v>
      </c>
      <c r="E5" s="4"/>
      <c r="F5" s="4" t="s">
        <v>17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23</v>
      </c>
      <c r="N5" s="7">
        <v>0</v>
      </c>
      <c r="O5" s="7">
        <v>0</v>
      </c>
      <c r="P5" s="7">
        <v>0</v>
      </c>
      <c r="Q5" s="7">
        <v>1</v>
      </c>
      <c r="R5" s="7">
        <v>0</v>
      </c>
    </row>
    <row r="6" spans="1:18" ht="48" customHeight="1">
      <c r="A6" s="4">
        <v>2</v>
      </c>
      <c r="B6" s="4" t="s">
        <v>61</v>
      </c>
      <c r="C6" s="6">
        <v>2018</v>
      </c>
      <c r="D6" s="4" t="s">
        <v>11</v>
      </c>
      <c r="E6" s="4"/>
      <c r="F6" s="4" t="s">
        <v>13</v>
      </c>
      <c r="G6" s="4" t="s">
        <v>62</v>
      </c>
      <c r="H6" s="4" t="s">
        <v>12</v>
      </c>
      <c r="I6" s="4" t="s">
        <v>63</v>
      </c>
      <c r="J6" s="4" t="s">
        <v>64</v>
      </c>
      <c r="K6" s="4" t="s">
        <v>65</v>
      </c>
      <c r="L6" s="4" t="s">
        <v>66</v>
      </c>
      <c r="M6" s="4" t="s">
        <v>11</v>
      </c>
      <c r="N6" s="7">
        <v>1</v>
      </c>
      <c r="O6" s="7">
        <v>0</v>
      </c>
      <c r="P6" s="7">
        <v>0</v>
      </c>
      <c r="Q6" s="7">
        <v>0</v>
      </c>
      <c r="R6" s="7">
        <v>0</v>
      </c>
    </row>
    <row r="7" spans="1:18" ht="48" customHeight="1">
      <c r="A7" s="4">
        <v>3</v>
      </c>
      <c r="B7" s="4" t="s">
        <v>67</v>
      </c>
      <c r="C7" s="6">
        <v>2024</v>
      </c>
      <c r="D7" s="4" t="s">
        <v>15</v>
      </c>
      <c r="E7" s="4" t="s">
        <v>68</v>
      </c>
      <c r="F7" s="4" t="s">
        <v>13</v>
      </c>
      <c r="G7" s="4" t="s">
        <v>62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73</v>
      </c>
      <c r="M7" s="4" t="s">
        <v>74</v>
      </c>
      <c r="N7" s="7">
        <v>0</v>
      </c>
      <c r="O7" s="7">
        <v>1</v>
      </c>
      <c r="P7" s="7">
        <v>1</v>
      </c>
      <c r="Q7" s="7">
        <v>0</v>
      </c>
      <c r="R7" s="7">
        <v>1</v>
      </c>
    </row>
    <row r="8" spans="1:18" ht="48" customHeight="1">
      <c r="A8" s="4">
        <v>4</v>
      </c>
      <c r="B8" s="4" t="s">
        <v>75</v>
      </c>
      <c r="C8" s="6">
        <v>2023</v>
      </c>
      <c r="D8" s="4" t="s">
        <v>15</v>
      </c>
      <c r="E8" s="4"/>
      <c r="F8" s="4" t="s">
        <v>13</v>
      </c>
      <c r="G8" s="4" t="s">
        <v>62</v>
      </c>
      <c r="H8" s="4" t="s">
        <v>76</v>
      </c>
      <c r="I8" s="4" t="s">
        <v>77</v>
      </c>
      <c r="J8" s="4" t="s">
        <v>78</v>
      </c>
      <c r="K8" s="4" t="s">
        <v>79</v>
      </c>
      <c r="L8" s="4" t="s">
        <v>80</v>
      </c>
      <c r="M8" s="4" t="s">
        <v>15</v>
      </c>
      <c r="N8" s="7">
        <v>0</v>
      </c>
      <c r="O8" s="7">
        <v>1</v>
      </c>
      <c r="P8" s="7">
        <v>0</v>
      </c>
      <c r="Q8" s="7">
        <v>0</v>
      </c>
      <c r="R8" s="7">
        <v>0</v>
      </c>
    </row>
    <row r="9" spans="1:18" ht="48" customHeight="1">
      <c r="A9" s="4">
        <v>5</v>
      </c>
      <c r="B9" s="4" t="s">
        <v>81</v>
      </c>
      <c r="C9" s="6">
        <v>2024</v>
      </c>
      <c r="D9" s="4" t="s">
        <v>27</v>
      </c>
      <c r="E9" s="4"/>
      <c r="F9" s="4" t="s">
        <v>17</v>
      </c>
      <c r="G9" s="4" t="s">
        <v>55</v>
      </c>
      <c r="H9" s="4" t="s">
        <v>82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27</v>
      </c>
      <c r="N9" s="7">
        <v>0</v>
      </c>
      <c r="O9" s="7">
        <v>0</v>
      </c>
      <c r="P9" s="7">
        <v>0</v>
      </c>
      <c r="Q9" s="7">
        <v>0</v>
      </c>
      <c r="R9" s="7">
        <v>1</v>
      </c>
    </row>
    <row r="10" spans="1:18" ht="48" customHeight="1">
      <c r="A10" s="4">
        <v>6</v>
      </c>
      <c r="B10" s="4" t="s">
        <v>87</v>
      </c>
      <c r="C10" s="6">
        <v>2026</v>
      </c>
      <c r="D10" s="4" t="s">
        <v>88</v>
      </c>
      <c r="E10" s="4"/>
      <c r="F10" s="4" t="s">
        <v>21</v>
      </c>
      <c r="G10" s="4" t="s">
        <v>22</v>
      </c>
      <c r="H10" s="4" t="s">
        <v>89</v>
      </c>
      <c r="I10" s="4" t="s">
        <v>90</v>
      </c>
      <c r="J10" s="4" t="s">
        <v>91</v>
      </c>
      <c r="K10" s="4" t="s">
        <v>92</v>
      </c>
      <c r="L10" s="4" t="s">
        <v>93</v>
      </c>
      <c r="M10" s="4" t="s">
        <v>88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  <row r="11" spans="1:18" ht="48" customHeight="1">
      <c r="A11" s="4">
        <v>7</v>
      </c>
      <c r="B11" s="4" t="s">
        <v>94</v>
      </c>
      <c r="C11" s="6">
        <v>2021</v>
      </c>
      <c r="D11" s="4" t="s">
        <v>11</v>
      </c>
      <c r="E11" s="4"/>
      <c r="F11" s="4" t="s">
        <v>13</v>
      </c>
      <c r="G11" s="4" t="s">
        <v>62</v>
      </c>
      <c r="H11" s="4" t="s">
        <v>95</v>
      </c>
      <c r="I11" s="4" t="s">
        <v>96</v>
      </c>
      <c r="J11" s="4" t="s">
        <v>97</v>
      </c>
      <c r="K11" s="4" t="s">
        <v>98</v>
      </c>
      <c r="L11" s="4" t="s">
        <v>99</v>
      </c>
      <c r="M11" s="4" t="s">
        <v>11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</row>
    <row r="12" spans="1:18" ht="48" customHeight="1">
      <c r="A12" s="4">
        <v>8</v>
      </c>
      <c r="B12" s="4" t="s">
        <v>100</v>
      </c>
      <c r="C12" s="6">
        <v>2024</v>
      </c>
      <c r="D12" s="4" t="s">
        <v>23</v>
      </c>
      <c r="E12" s="4"/>
      <c r="F12" s="4" t="s">
        <v>13</v>
      </c>
      <c r="G12" s="4" t="s">
        <v>62</v>
      </c>
      <c r="H12" s="4" t="s">
        <v>101</v>
      </c>
      <c r="I12" s="4" t="s">
        <v>102</v>
      </c>
      <c r="J12" s="4" t="s">
        <v>103</v>
      </c>
      <c r="K12" s="4" t="s">
        <v>104</v>
      </c>
      <c r="L12" s="4" t="s">
        <v>105</v>
      </c>
      <c r="M12" s="4" t="s">
        <v>23</v>
      </c>
      <c r="N12" s="7">
        <v>0</v>
      </c>
      <c r="O12" s="7">
        <v>0</v>
      </c>
      <c r="P12" s="7">
        <v>0</v>
      </c>
      <c r="Q12" s="7">
        <v>1</v>
      </c>
      <c r="R12" s="7">
        <v>0</v>
      </c>
    </row>
    <row r="13" spans="1:18" ht="48" customHeight="1">
      <c r="A13" s="4">
        <v>9</v>
      </c>
      <c r="B13" s="4" t="s">
        <v>106</v>
      </c>
      <c r="C13" s="6">
        <v>2023</v>
      </c>
      <c r="D13" s="4" t="s">
        <v>19</v>
      </c>
      <c r="E13" s="4"/>
      <c r="F13" s="4" t="s">
        <v>13</v>
      </c>
      <c r="G13" s="4" t="s">
        <v>62</v>
      </c>
      <c r="H13" s="4" t="s">
        <v>20</v>
      </c>
      <c r="I13" s="4" t="s">
        <v>107</v>
      </c>
      <c r="J13" s="4" t="s">
        <v>108</v>
      </c>
      <c r="K13" s="4" t="s">
        <v>109</v>
      </c>
      <c r="L13" s="4" t="s">
        <v>110</v>
      </c>
      <c r="M13" s="4" t="s">
        <v>19</v>
      </c>
      <c r="N13" s="7">
        <v>0</v>
      </c>
      <c r="O13" s="7">
        <v>0</v>
      </c>
      <c r="P13" s="7">
        <v>1</v>
      </c>
      <c r="Q13" s="7">
        <v>0</v>
      </c>
      <c r="R13" s="7">
        <v>0</v>
      </c>
    </row>
    <row r="14" spans="1:18" ht="48" customHeight="1">
      <c r="A14" s="4">
        <v>10</v>
      </c>
      <c r="B14" s="4" t="s">
        <v>111</v>
      </c>
      <c r="C14" s="6">
        <v>2010</v>
      </c>
      <c r="D14" s="4" t="s">
        <v>15</v>
      </c>
      <c r="E14" s="4"/>
      <c r="F14" s="4" t="s">
        <v>13</v>
      </c>
      <c r="G14" s="4" t="s">
        <v>62</v>
      </c>
      <c r="H14" s="4" t="s">
        <v>112</v>
      </c>
      <c r="I14" s="4" t="s">
        <v>113</v>
      </c>
      <c r="J14" s="4" t="s">
        <v>114</v>
      </c>
      <c r="K14" s="4" t="s">
        <v>115</v>
      </c>
      <c r="L14" s="4" t="s">
        <v>116</v>
      </c>
      <c r="M14" s="4" t="s">
        <v>15</v>
      </c>
      <c r="N14" s="7">
        <v>0</v>
      </c>
      <c r="O14" s="7">
        <v>1</v>
      </c>
      <c r="P14" s="7">
        <v>0</v>
      </c>
      <c r="Q14" s="7">
        <v>0</v>
      </c>
      <c r="R14" s="7">
        <v>0</v>
      </c>
    </row>
    <row r="15" spans="1:18" ht="48" customHeight="1">
      <c r="A15" s="4">
        <v>11</v>
      </c>
      <c r="B15" s="4" t="s">
        <v>117</v>
      </c>
      <c r="C15" s="6">
        <v>2025</v>
      </c>
      <c r="D15" s="4" t="s">
        <v>11</v>
      </c>
      <c r="E15" s="4"/>
      <c r="F15" s="4" t="s">
        <v>13</v>
      </c>
      <c r="G15" s="4" t="s">
        <v>62</v>
      </c>
      <c r="H15" s="4" t="s">
        <v>118</v>
      </c>
      <c r="I15" s="4" t="s">
        <v>119</v>
      </c>
      <c r="J15" s="4" t="s">
        <v>120</v>
      </c>
      <c r="K15" s="4" t="s">
        <v>121</v>
      </c>
      <c r="L15" s="4" t="s">
        <v>122</v>
      </c>
      <c r="M15" s="4" t="s">
        <v>11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</row>
    <row r="16" spans="1:18" ht="48" customHeight="1">
      <c r="A16" s="4">
        <v>12</v>
      </c>
      <c r="B16" s="4" t="s">
        <v>123</v>
      </c>
      <c r="C16" s="6">
        <v>2013</v>
      </c>
      <c r="D16" s="4" t="s">
        <v>23</v>
      </c>
      <c r="E16" s="4"/>
      <c r="F16" s="4" t="s">
        <v>13</v>
      </c>
      <c r="G16" s="4" t="s">
        <v>62</v>
      </c>
      <c r="H16" s="4" t="s">
        <v>124</v>
      </c>
      <c r="I16" s="4" t="s">
        <v>125</v>
      </c>
      <c r="J16" s="4" t="s">
        <v>126</v>
      </c>
      <c r="K16" s="4" t="s">
        <v>127</v>
      </c>
      <c r="L16" s="4" t="s">
        <v>128</v>
      </c>
      <c r="M16" s="4" t="s">
        <v>23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</row>
    <row r="17" spans="1:18" ht="48" customHeight="1">
      <c r="A17" s="4">
        <v>13</v>
      </c>
      <c r="B17" s="4" t="s">
        <v>129</v>
      </c>
      <c r="C17" s="6">
        <v>2023</v>
      </c>
      <c r="D17" s="4" t="s">
        <v>11</v>
      </c>
      <c r="E17" s="4" t="s">
        <v>130</v>
      </c>
      <c r="F17" s="4" t="s">
        <v>13</v>
      </c>
      <c r="G17" s="4" t="s">
        <v>62</v>
      </c>
      <c r="H17" s="4" t="s">
        <v>131</v>
      </c>
      <c r="I17" s="4" t="s">
        <v>132</v>
      </c>
      <c r="J17" s="4" t="s">
        <v>133</v>
      </c>
      <c r="K17" s="4" t="s">
        <v>134</v>
      </c>
      <c r="L17" s="4" t="s">
        <v>135</v>
      </c>
      <c r="M17" s="4" t="s">
        <v>136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</row>
    <row r="18" spans="1:18" ht="48" customHeight="1">
      <c r="A18" s="4">
        <v>14</v>
      </c>
      <c r="B18" s="4" t="s">
        <v>137</v>
      </c>
      <c r="C18" s="6">
        <v>2022</v>
      </c>
      <c r="D18" s="4" t="s">
        <v>19</v>
      </c>
      <c r="E18" s="4"/>
      <c r="F18" s="4" t="s">
        <v>13</v>
      </c>
      <c r="G18" s="4" t="s">
        <v>62</v>
      </c>
      <c r="H18" s="4" t="s">
        <v>138</v>
      </c>
      <c r="I18" s="4" t="s">
        <v>139</v>
      </c>
      <c r="J18" s="4" t="s">
        <v>140</v>
      </c>
      <c r="K18" s="4" t="s">
        <v>141</v>
      </c>
      <c r="L18" s="4" t="s">
        <v>142</v>
      </c>
      <c r="M18" s="4" t="s">
        <v>19</v>
      </c>
      <c r="N18" s="7">
        <v>0</v>
      </c>
      <c r="O18" s="7">
        <v>0</v>
      </c>
      <c r="P18" s="7">
        <v>1</v>
      </c>
      <c r="Q18" s="7">
        <v>0</v>
      </c>
      <c r="R18" s="7">
        <v>0</v>
      </c>
    </row>
    <row r="19" spans="1:18" ht="48" customHeight="1">
      <c r="A19" s="4">
        <v>15</v>
      </c>
      <c r="B19" s="4" t="s">
        <v>143</v>
      </c>
      <c r="C19" s="6">
        <v>2025</v>
      </c>
      <c r="D19" s="4" t="s">
        <v>15</v>
      </c>
      <c r="E19" s="4"/>
      <c r="F19" s="4" t="s">
        <v>13</v>
      </c>
      <c r="G19" s="4" t="s">
        <v>62</v>
      </c>
      <c r="H19" s="4" t="s">
        <v>144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15</v>
      </c>
      <c r="N19" s="7">
        <v>0</v>
      </c>
      <c r="O19" s="7">
        <v>1</v>
      </c>
      <c r="P19" s="7">
        <v>0</v>
      </c>
      <c r="Q19" s="7">
        <v>0</v>
      </c>
      <c r="R19" s="7">
        <v>0</v>
      </c>
    </row>
    <row r="20" spans="1:18" ht="48" customHeight="1">
      <c r="A20" s="4">
        <v>16</v>
      </c>
      <c r="B20" s="4" t="s">
        <v>149</v>
      </c>
      <c r="C20" s="6">
        <v>2025</v>
      </c>
      <c r="D20" s="4" t="s">
        <v>23</v>
      </c>
      <c r="E20" s="4" t="s">
        <v>19</v>
      </c>
      <c r="F20" s="4" t="s">
        <v>13</v>
      </c>
      <c r="G20" s="4" t="s">
        <v>62</v>
      </c>
      <c r="H20" s="4" t="s">
        <v>150</v>
      </c>
      <c r="I20" s="4" t="s">
        <v>151</v>
      </c>
      <c r="J20" s="4" t="s">
        <v>152</v>
      </c>
      <c r="K20" s="4" t="s">
        <v>153</v>
      </c>
      <c r="L20" s="4" t="s">
        <v>154</v>
      </c>
      <c r="M20" s="4" t="s">
        <v>155</v>
      </c>
      <c r="N20" s="7">
        <v>0</v>
      </c>
      <c r="O20" s="7">
        <v>0</v>
      </c>
      <c r="P20" s="7">
        <v>1</v>
      </c>
      <c r="Q20" s="7">
        <v>1</v>
      </c>
      <c r="R20" s="7">
        <v>0</v>
      </c>
    </row>
    <row r="21" spans="1:18" ht="48" customHeight="1">
      <c r="A21" s="4">
        <v>17</v>
      </c>
      <c r="B21" s="4" t="s">
        <v>156</v>
      </c>
      <c r="C21" s="6">
        <v>2026</v>
      </c>
      <c r="D21" s="4" t="s">
        <v>27</v>
      </c>
      <c r="E21" s="4"/>
      <c r="F21" s="4" t="s">
        <v>13</v>
      </c>
      <c r="G21" s="4" t="s">
        <v>62</v>
      </c>
      <c r="H21" s="4" t="s">
        <v>28</v>
      </c>
      <c r="I21" s="4" t="s">
        <v>157</v>
      </c>
      <c r="J21" s="4" t="s">
        <v>158</v>
      </c>
      <c r="K21" s="4" t="s">
        <v>159</v>
      </c>
      <c r="L21" s="4" t="s">
        <v>160</v>
      </c>
      <c r="M21" s="4" t="s">
        <v>27</v>
      </c>
      <c r="N21" s="7">
        <v>0</v>
      </c>
      <c r="O21" s="7">
        <v>0</v>
      </c>
      <c r="P21" s="7">
        <v>0</v>
      </c>
      <c r="Q21" s="7">
        <v>0</v>
      </c>
      <c r="R21" s="7">
        <v>1</v>
      </c>
    </row>
    <row r="22" spans="1:18" ht="48" customHeight="1">
      <c r="A22" s="4">
        <v>18</v>
      </c>
      <c r="B22" s="4" t="s">
        <v>161</v>
      </c>
      <c r="C22" s="6">
        <v>2026</v>
      </c>
      <c r="D22" s="4" t="s">
        <v>27</v>
      </c>
      <c r="E22" s="4"/>
      <c r="F22" s="4" t="s">
        <v>13</v>
      </c>
      <c r="G22" s="4" t="s">
        <v>62</v>
      </c>
      <c r="H22" s="4" t="s">
        <v>162</v>
      </c>
      <c r="I22" s="4" t="s">
        <v>157</v>
      </c>
      <c r="J22" s="4" t="s">
        <v>163</v>
      </c>
      <c r="K22" s="4" t="s">
        <v>164</v>
      </c>
      <c r="L22" s="4" t="s">
        <v>165</v>
      </c>
      <c r="M22" s="4" t="s">
        <v>27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</row>
    <row r="23" spans="1:18" ht="48" customHeight="1">
      <c r="A23" s="4">
        <v>19</v>
      </c>
      <c r="B23" s="4" t="s">
        <v>166</v>
      </c>
      <c r="C23" s="6">
        <v>2026</v>
      </c>
      <c r="D23" s="4" t="s">
        <v>27</v>
      </c>
      <c r="E23" s="4"/>
      <c r="F23" s="4" t="s">
        <v>13</v>
      </c>
      <c r="G23" s="4" t="s">
        <v>62</v>
      </c>
      <c r="H23" s="4" t="s">
        <v>167</v>
      </c>
      <c r="I23" s="4" t="s">
        <v>168</v>
      </c>
      <c r="J23" s="4" t="s">
        <v>169</v>
      </c>
      <c r="K23" s="4" t="s">
        <v>170</v>
      </c>
      <c r="L23" s="4" t="s">
        <v>171</v>
      </c>
      <c r="M23" s="4" t="s">
        <v>27</v>
      </c>
      <c r="N23" s="7">
        <v>0</v>
      </c>
      <c r="O23" s="7">
        <v>0</v>
      </c>
      <c r="P23" s="7">
        <v>0</v>
      </c>
      <c r="Q23" s="7">
        <v>0</v>
      </c>
      <c r="R23" s="7">
        <v>1</v>
      </c>
    </row>
    <row r="24" spans="1:18" ht="48" customHeight="1">
      <c r="A24" s="4">
        <v>20</v>
      </c>
      <c r="B24" s="4" t="s">
        <v>172</v>
      </c>
      <c r="C24" s="6">
        <v>2026</v>
      </c>
      <c r="D24" s="4" t="s">
        <v>27</v>
      </c>
      <c r="E24" s="4"/>
      <c r="F24" s="4" t="s">
        <v>13</v>
      </c>
      <c r="G24" s="4" t="s">
        <v>62</v>
      </c>
      <c r="H24" s="4" t="s">
        <v>173</v>
      </c>
      <c r="I24" s="4" t="s">
        <v>157</v>
      </c>
      <c r="J24" s="4" t="s">
        <v>174</v>
      </c>
      <c r="K24" s="4" t="s">
        <v>175</v>
      </c>
      <c r="L24" s="4" t="s">
        <v>176</v>
      </c>
      <c r="M24" s="4" t="s">
        <v>27</v>
      </c>
      <c r="N24" s="7">
        <v>0</v>
      </c>
      <c r="O24" s="7">
        <v>0</v>
      </c>
      <c r="P24" s="7">
        <v>0</v>
      </c>
      <c r="Q24" s="7">
        <v>0</v>
      </c>
      <c r="R24" s="7">
        <v>1</v>
      </c>
    </row>
    <row r="25" spans="1:18" ht="48" customHeight="1">
      <c r="A25" s="4">
        <v>21</v>
      </c>
      <c r="B25" s="4" t="s">
        <v>177</v>
      </c>
      <c r="C25" s="6">
        <v>2006</v>
      </c>
      <c r="D25" s="4" t="s">
        <v>15</v>
      </c>
      <c r="E25" s="4" t="s">
        <v>130</v>
      </c>
      <c r="F25" s="4" t="s">
        <v>13</v>
      </c>
      <c r="G25" s="4" t="s">
        <v>62</v>
      </c>
      <c r="H25" s="4" t="s">
        <v>178</v>
      </c>
      <c r="I25" s="4" t="s">
        <v>179</v>
      </c>
      <c r="J25" s="4" t="s">
        <v>180</v>
      </c>
      <c r="K25" s="4" t="s">
        <v>181</v>
      </c>
      <c r="L25" s="4" t="s">
        <v>182</v>
      </c>
      <c r="M25" s="4" t="s">
        <v>183</v>
      </c>
      <c r="N25" s="7">
        <v>0</v>
      </c>
      <c r="O25" s="7">
        <v>1</v>
      </c>
      <c r="P25" s="7">
        <v>0</v>
      </c>
      <c r="Q25" s="7">
        <v>0</v>
      </c>
      <c r="R25" s="7">
        <v>0</v>
      </c>
    </row>
    <row r="26" spans="1:18" ht="48" customHeight="1">
      <c r="A26" s="4">
        <v>22</v>
      </c>
      <c r="B26" s="4" t="s">
        <v>184</v>
      </c>
      <c r="C26" s="6">
        <v>2023</v>
      </c>
      <c r="D26" s="4" t="s">
        <v>19</v>
      </c>
      <c r="E26" s="4" t="s">
        <v>130</v>
      </c>
      <c r="F26" s="4" t="s">
        <v>13</v>
      </c>
      <c r="G26" s="4" t="s">
        <v>62</v>
      </c>
      <c r="H26" s="4" t="s">
        <v>185</v>
      </c>
      <c r="I26" s="4" t="s">
        <v>186</v>
      </c>
      <c r="J26" s="4" t="s">
        <v>187</v>
      </c>
      <c r="K26" s="4" t="s">
        <v>188</v>
      </c>
      <c r="L26" s="4" t="s">
        <v>189</v>
      </c>
      <c r="M26" s="4" t="s">
        <v>190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</row>
    <row r="27" spans="1:18" ht="48" customHeight="1">
      <c r="A27" s="4">
        <v>23</v>
      </c>
      <c r="B27" s="4" t="s">
        <v>191</v>
      </c>
      <c r="C27" s="6">
        <v>2023</v>
      </c>
      <c r="D27" s="4" t="s">
        <v>88</v>
      </c>
      <c r="E27" s="4" t="s">
        <v>192</v>
      </c>
      <c r="F27" s="4" t="s">
        <v>17</v>
      </c>
      <c r="G27" s="4" t="s">
        <v>193</v>
      </c>
      <c r="H27" s="4" t="s">
        <v>194</v>
      </c>
      <c r="I27" s="4" t="s">
        <v>195</v>
      </c>
      <c r="J27" s="4" t="s">
        <v>196</v>
      </c>
      <c r="K27" s="4" t="s">
        <v>197</v>
      </c>
      <c r="L27" s="4" t="s">
        <v>198</v>
      </c>
      <c r="M27" s="4" t="s">
        <v>199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</row>
  </sheetData>
  <mergeCells count="3">
    <mergeCell ref="A1:M1"/>
    <mergeCell ref="A2:M2"/>
    <mergeCell ref="N3:R3"/>
  </mergeCells>
  <conditionalFormatting sqref="F5:F27">
    <cfRule type="expression" dxfId="5" priority="1">
      <formula>F5="Keep"</formula>
    </cfRule>
    <cfRule type="expression" dxfId="4" priority="2">
      <formula>F5="Maybe"</formula>
    </cfRule>
    <cfRule type="expression" dxfId="3" priority="3">
      <formula>F5="Toss"</formula>
    </cfRule>
  </conditionalFormatting>
  <dataValidations count="2">
    <dataValidation type="list" sqref="F5:F27" xr:uid="{00000000-0002-0000-0100-000000000000}">
      <formula1>"Keep,Maybe,Toss"</formula1>
    </dataValidation>
    <dataValidation type="list" sqref="D5:D27" xr:uid="{00000000-0002-0000-0100-000001000000}">
      <formula1>"A,B,C,D,E,Background"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D4" sqref="D4"/>
    </sheetView>
  </sheetViews>
  <sheetFormatPr defaultRowHeight="13.8"/>
  <cols>
    <col min="1" max="1" width="24" customWidth="1"/>
    <col min="2" max="2" width="42" customWidth="1"/>
    <col min="3" max="3" width="26" customWidth="1"/>
    <col min="4" max="6" width="18" customWidth="1"/>
    <col min="7" max="7" width="34" customWidth="1"/>
  </cols>
  <sheetData>
    <row r="1" spans="1:7" ht="22.35" customHeight="1">
      <c r="A1" s="8" t="s">
        <v>200</v>
      </c>
      <c r="B1" s="9"/>
      <c r="C1" s="9"/>
      <c r="D1" s="9"/>
      <c r="E1" s="9"/>
      <c r="F1" s="9"/>
      <c r="G1" s="9"/>
    </row>
    <row r="2" spans="1:7" ht="22.35" customHeight="1">
      <c r="A2" s="1"/>
    </row>
    <row r="3" spans="1:7" ht="12" customHeight="1">
      <c r="A3" s="2" t="s">
        <v>5</v>
      </c>
      <c r="B3" s="2" t="s">
        <v>201</v>
      </c>
      <c r="C3" s="2" t="s">
        <v>202</v>
      </c>
      <c r="D3" s="2" t="s">
        <v>203</v>
      </c>
      <c r="E3" s="2" t="s">
        <v>204</v>
      </c>
      <c r="F3" s="2" t="s">
        <v>205</v>
      </c>
      <c r="G3" s="2" t="s">
        <v>206</v>
      </c>
    </row>
    <row r="4" spans="1:7" ht="21.15" customHeight="1">
      <c r="A4" s="4" t="s">
        <v>11</v>
      </c>
      <c r="B4" s="4" t="s">
        <v>12</v>
      </c>
      <c r="C4" s="4" t="s">
        <v>207</v>
      </c>
      <c r="D4" s="4">
        <f>SUMIFS('Source Decisions'!$N$5:$N$27,'Source Decisions'!$F$5:$F$27,"Keep")</f>
        <v>4</v>
      </c>
      <c r="E4" s="4">
        <f>SUMIFS('Source Decisions'!$N$5:$N$27,'Source Decisions'!$F$5:$F$27,"Maybe")</f>
        <v>0</v>
      </c>
      <c r="F4" s="4">
        <f t="shared" ref="F4:F9" si="0">D4+E4</f>
        <v>4</v>
      </c>
      <c r="G4" s="4" t="str">
        <f>IF(D4&gt;=5,"Strong core coverage","Adequate for extraction; consider one more diagnostic-gap/ICD source before final write-up")</f>
        <v>Adequate for extraction; consider one more diagnostic-gap/ICD source before final write-up</v>
      </c>
    </row>
    <row r="5" spans="1:7" ht="12" customHeight="1">
      <c r="A5" s="4" t="s">
        <v>15</v>
      </c>
      <c r="B5" s="4" t="s">
        <v>16</v>
      </c>
      <c r="C5" s="4" t="s">
        <v>208</v>
      </c>
      <c r="D5" s="4">
        <f>SUMIFS('Source Decisions'!$O$5:$O$27,'Source Decisions'!$F$5:$F$27,"Keep")</f>
        <v>5</v>
      </c>
      <c r="E5" s="4">
        <f>SUMIFS('Source Decisions'!$O$5:$O$27,'Source Decisions'!$F$5:$F$27,"Maybe")</f>
        <v>0</v>
      </c>
      <c r="F5" s="4">
        <f t="shared" si="0"/>
        <v>5</v>
      </c>
      <c r="G5" s="4" t="str">
        <f>IF(D5&gt;=4,"Strong core coverage","Needs one more FLI/HSI source")</f>
        <v>Strong core coverage</v>
      </c>
    </row>
    <row r="6" spans="1:7" ht="21.15" customHeight="1">
      <c r="A6" s="4" t="s">
        <v>19</v>
      </c>
      <c r="B6" s="4" t="s">
        <v>20</v>
      </c>
      <c r="C6" s="4" t="s">
        <v>208</v>
      </c>
      <c r="D6" s="4">
        <f>SUMIFS('Source Decisions'!$P$5:$P$27,'Source Decisions'!$F$5:$F$27,"Keep")</f>
        <v>5</v>
      </c>
      <c r="E6" s="4">
        <f>SUMIFS('Source Decisions'!$P$5:$P$27,'Source Decisions'!$F$5:$F$27,"Maybe")</f>
        <v>0</v>
      </c>
      <c r="F6" s="4">
        <f t="shared" si="0"/>
        <v>5</v>
      </c>
      <c r="G6" s="4" t="str">
        <f>IF(D6&gt;=4,"Strong with secondary supports included","Consider extracting Behari/Tincopa under C as secondary supports")</f>
        <v>Strong with secondary supports included</v>
      </c>
    </row>
    <row r="7" spans="1:7" ht="12" customHeight="1">
      <c r="A7" s="4" t="s">
        <v>23</v>
      </c>
      <c r="B7" s="4" t="s">
        <v>24</v>
      </c>
      <c r="C7" s="4" t="s">
        <v>209</v>
      </c>
      <c r="D7" s="4">
        <f>SUMIFS('Source Decisions'!$Q$5:$Q$27,'Source Decisions'!$F$5:$F$27,"Keep")</f>
        <v>3</v>
      </c>
      <c r="E7" s="4">
        <f>SUMIFS('Source Decisions'!$Q$5:$Q$27,'Source Decisions'!$F$5:$F$27,"Maybe")</f>
        <v>1</v>
      </c>
      <c r="F7" s="4">
        <f t="shared" si="0"/>
        <v>4</v>
      </c>
      <c r="G7" s="4" t="str">
        <f>IF(D7&gt;=3,"Strong core coverage","Needs one more SDOH/access source")</f>
        <v>Strong core coverage</v>
      </c>
    </row>
    <row r="8" spans="1:7" ht="21.15" customHeight="1">
      <c r="A8" s="4" t="s">
        <v>27</v>
      </c>
      <c r="B8" s="4" t="s">
        <v>28</v>
      </c>
      <c r="C8" s="4" t="s">
        <v>210</v>
      </c>
      <c r="D8" s="4">
        <f>SUMIFS('Source Decisions'!$R$5:$R$27,'Source Decisions'!$F$5:$F$27,"Keep")</f>
        <v>5</v>
      </c>
      <c r="E8" s="4">
        <f>SUMIFS('Source Decisions'!$R$5:$R$27,'Source Decisions'!$F$5:$F$27,"Maybe")</f>
        <v>1</v>
      </c>
      <c r="F8" s="4">
        <f t="shared" si="0"/>
        <v>6</v>
      </c>
      <c r="G8" s="4" t="str">
        <f>IF(D8&gt;=3,"Strong methods coverage","Adequate if at least 2 direct All of Us/OMOP sources remain")</f>
        <v>Strong methods coverage</v>
      </c>
    </row>
    <row r="9" spans="1:7" ht="21.15" customHeight="1">
      <c r="A9" s="4" t="s">
        <v>211</v>
      </c>
      <c r="B9" s="4" t="s">
        <v>212</v>
      </c>
      <c r="C9" s="4" t="s">
        <v>213</v>
      </c>
      <c r="D9" s="4">
        <f>COUNTIFS('Source Decisions'!$F$5:$F$27,"Keep",'Source Decisions'!$D$5:$D$27,"Background")</f>
        <v>0</v>
      </c>
      <c r="E9" s="4">
        <f>COUNTIFS('Source Decisions'!$F$5:$F$27,"Maybe",'Source Decisions'!$D$5:$D$27,"Background")</f>
        <v>1</v>
      </c>
      <c r="F9" s="4">
        <f t="shared" si="0"/>
        <v>1</v>
      </c>
      <c r="G9" s="4" t="str">
        <f>"Optional context; do not expand unless the introduction needs it"</f>
        <v>Optional context; do not expand unless the introduction needs it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workbookViewId="0"/>
  </sheetViews>
  <sheetFormatPr defaultRowHeight="13.8"/>
  <cols>
    <col min="1" max="1" width="10" customWidth="1"/>
    <col min="2" max="2" width="46" customWidth="1"/>
    <col min="3" max="3" width="14" customWidth="1"/>
    <col min="4" max="4" width="12" customWidth="1"/>
    <col min="5" max="5" width="24" customWidth="1"/>
    <col min="6" max="6" width="14" customWidth="1"/>
    <col min="7" max="8" width="28" customWidth="1"/>
    <col min="9" max="10" width="24" customWidth="1"/>
    <col min="11" max="11" width="40" customWidth="1"/>
    <col min="12" max="12" width="34" customWidth="1"/>
    <col min="13" max="13" width="30" customWidth="1"/>
    <col min="14" max="14" width="18" customWidth="1"/>
  </cols>
  <sheetData>
    <row r="1" spans="1:14" ht="22.35" customHeight="1">
      <c r="A1" s="8" t="s">
        <v>214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2.35" customHeight="1">
      <c r="A2" s="1"/>
    </row>
    <row r="3" spans="1:14" ht="12" customHeight="1">
      <c r="A3" s="2" t="s">
        <v>215</v>
      </c>
      <c r="B3" s="2" t="s">
        <v>216</v>
      </c>
      <c r="C3" s="2" t="s">
        <v>39</v>
      </c>
      <c r="D3" s="2" t="s">
        <v>41</v>
      </c>
      <c r="E3" s="2" t="s">
        <v>217</v>
      </c>
      <c r="F3" s="2" t="s">
        <v>218</v>
      </c>
      <c r="G3" s="2" t="s">
        <v>219</v>
      </c>
      <c r="H3" s="2" t="s">
        <v>220</v>
      </c>
      <c r="I3" s="2" t="s">
        <v>221</v>
      </c>
      <c r="J3" s="2" t="s">
        <v>222</v>
      </c>
      <c r="K3" s="2" t="s">
        <v>223</v>
      </c>
      <c r="L3" s="2" t="s">
        <v>224</v>
      </c>
      <c r="M3" s="2" t="s">
        <v>225</v>
      </c>
      <c r="N3" s="2" t="s">
        <v>226</v>
      </c>
    </row>
    <row r="4" spans="1:14" ht="52.05" customHeight="1">
      <c r="A4" s="6">
        <v>2</v>
      </c>
      <c r="B4" s="4" t="s">
        <v>61</v>
      </c>
      <c r="C4" s="4" t="s">
        <v>11</v>
      </c>
      <c r="D4" s="4" t="s">
        <v>13</v>
      </c>
      <c r="E4" s="4" t="s">
        <v>63</v>
      </c>
      <c r="F4" s="4"/>
      <c r="G4" s="4"/>
      <c r="H4" s="4"/>
      <c r="I4" s="4"/>
      <c r="J4" s="4"/>
      <c r="K4" s="4"/>
      <c r="L4" s="4"/>
      <c r="M4" s="4" t="s">
        <v>12</v>
      </c>
      <c r="N4" s="4" t="s">
        <v>227</v>
      </c>
    </row>
    <row r="5" spans="1:14" ht="52.05" customHeight="1">
      <c r="A5" s="6">
        <v>3</v>
      </c>
      <c r="B5" s="4" t="s">
        <v>67</v>
      </c>
      <c r="C5" s="4" t="s">
        <v>15</v>
      </c>
      <c r="D5" s="4" t="s">
        <v>13</v>
      </c>
      <c r="E5" s="4" t="s">
        <v>70</v>
      </c>
      <c r="F5" s="4"/>
      <c r="G5" s="4"/>
      <c r="H5" s="4"/>
      <c r="I5" s="4"/>
      <c r="J5" s="4"/>
      <c r="K5" s="4"/>
      <c r="L5" s="4"/>
      <c r="M5" s="4" t="s">
        <v>69</v>
      </c>
      <c r="N5" s="4" t="s">
        <v>227</v>
      </c>
    </row>
    <row r="6" spans="1:14" ht="52.05" customHeight="1">
      <c r="A6" s="6">
        <v>4</v>
      </c>
      <c r="B6" s="4" t="s">
        <v>75</v>
      </c>
      <c r="C6" s="4" t="s">
        <v>15</v>
      </c>
      <c r="D6" s="4" t="s">
        <v>13</v>
      </c>
      <c r="E6" s="4" t="s">
        <v>77</v>
      </c>
      <c r="F6" s="4"/>
      <c r="G6" s="4"/>
      <c r="H6" s="4"/>
      <c r="I6" s="4"/>
      <c r="J6" s="4"/>
      <c r="K6" s="4"/>
      <c r="L6" s="4"/>
      <c r="M6" s="4" t="s">
        <v>76</v>
      </c>
      <c r="N6" s="4" t="s">
        <v>227</v>
      </c>
    </row>
    <row r="7" spans="1:14" ht="52.05" customHeight="1">
      <c r="A7" s="6">
        <v>7</v>
      </c>
      <c r="B7" s="4" t="s">
        <v>94</v>
      </c>
      <c r="C7" s="4" t="s">
        <v>11</v>
      </c>
      <c r="D7" s="4" t="s">
        <v>13</v>
      </c>
      <c r="E7" s="4" t="s">
        <v>96</v>
      </c>
      <c r="F7" s="4"/>
      <c r="G7" s="4"/>
      <c r="H7" s="4"/>
      <c r="I7" s="4"/>
      <c r="J7" s="4"/>
      <c r="K7" s="4"/>
      <c r="L7" s="4"/>
      <c r="M7" s="4" t="s">
        <v>95</v>
      </c>
      <c r="N7" s="4" t="s">
        <v>227</v>
      </c>
    </row>
    <row r="8" spans="1:14" ht="52.05" customHeight="1">
      <c r="A8" s="6">
        <v>8</v>
      </c>
      <c r="B8" s="4" t="s">
        <v>100</v>
      </c>
      <c r="C8" s="4" t="s">
        <v>23</v>
      </c>
      <c r="D8" s="4" t="s">
        <v>13</v>
      </c>
      <c r="E8" s="4" t="s">
        <v>102</v>
      </c>
      <c r="F8" s="4"/>
      <c r="G8" s="4"/>
      <c r="H8" s="4"/>
      <c r="I8" s="4"/>
      <c r="J8" s="4"/>
      <c r="K8" s="4"/>
      <c r="L8" s="4"/>
      <c r="M8" s="4" t="s">
        <v>101</v>
      </c>
      <c r="N8" s="4" t="s">
        <v>227</v>
      </c>
    </row>
    <row r="9" spans="1:14" ht="52.05" customHeight="1">
      <c r="A9" s="6">
        <v>9</v>
      </c>
      <c r="B9" s="4" t="s">
        <v>106</v>
      </c>
      <c r="C9" s="4" t="s">
        <v>19</v>
      </c>
      <c r="D9" s="4" t="s">
        <v>13</v>
      </c>
      <c r="E9" s="4" t="s">
        <v>107</v>
      </c>
      <c r="F9" s="4"/>
      <c r="G9" s="4"/>
      <c r="H9" s="4"/>
      <c r="I9" s="4"/>
      <c r="J9" s="4"/>
      <c r="K9" s="4"/>
      <c r="L9" s="4"/>
      <c r="M9" s="4" t="s">
        <v>20</v>
      </c>
      <c r="N9" s="4" t="s">
        <v>227</v>
      </c>
    </row>
    <row r="10" spans="1:14" ht="52.05" customHeight="1">
      <c r="A10" s="6">
        <v>10</v>
      </c>
      <c r="B10" s="4" t="s">
        <v>111</v>
      </c>
      <c r="C10" s="4" t="s">
        <v>15</v>
      </c>
      <c r="D10" s="4" t="s">
        <v>13</v>
      </c>
      <c r="E10" s="4" t="s">
        <v>113</v>
      </c>
      <c r="F10" s="4"/>
      <c r="G10" s="4"/>
      <c r="H10" s="4"/>
      <c r="I10" s="4"/>
      <c r="J10" s="4"/>
      <c r="K10" s="4"/>
      <c r="L10" s="4"/>
      <c r="M10" s="4" t="s">
        <v>112</v>
      </c>
      <c r="N10" s="4" t="s">
        <v>227</v>
      </c>
    </row>
    <row r="11" spans="1:14" ht="52.05" customHeight="1">
      <c r="A11" s="6">
        <v>11</v>
      </c>
      <c r="B11" s="4" t="s">
        <v>117</v>
      </c>
      <c r="C11" s="4" t="s">
        <v>11</v>
      </c>
      <c r="D11" s="4" t="s">
        <v>13</v>
      </c>
      <c r="E11" s="4" t="s">
        <v>119</v>
      </c>
      <c r="F11" s="4"/>
      <c r="G11" s="4"/>
      <c r="H11" s="4"/>
      <c r="I11" s="4"/>
      <c r="J11" s="4"/>
      <c r="K11" s="4"/>
      <c r="L11" s="4"/>
      <c r="M11" s="4" t="s">
        <v>118</v>
      </c>
      <c r="N11" s="4" t="s">
        <v>227</v>
      </c>
    </row>
    <row r="12" spans="1:14" ht="52.05" customHeight="1">
      <c r="A12" s="6">
        <v>12</v>
      </c>
      <c r="B12" s="4" t="s">
        <v>123</v>
      </c>
      <c r="C12" s="4" t="s">
        <v>23</v>
      </c>
      <c r="D12" s="4" t="s">
        <v>13</v>
      </c>
      <c r="E12" s="4" t="s">
        <v>125</v>
      </c>
      <c r="F12" s="4"/>
      <c r="G12" s="4"/>
      <c r="H12" s="4"/>
      <c r="I12" s="4"/>
      <c r="J12" s="4"/>
      <c r="K12" s="4"/>
      <c r="L12" s="4"/>
      <c r="M12" s="4" t="s">
        <v>124</v>
      </c>
      <c r="N12" s="4" t="s">
        <v>227</v>
      </c>
    </row>
    <row r="13" spans="1:14" ht="52.05" customHeight="1">
      <c r="A13" s="6">
        <v>13</v>
      </c>
      <c r="B13" s="4" t="s">
        <v>129</v>
      </c>
      <c r="C13" s="4" t="s">
        <v>11</v>
      </c>
      <c r="D13" s="4" t="s">
        <v>13</v>
      </c>
      <c r="E13" s="4" t="s">
        <v>132</v>
      </c>
      <c r="F13" s="4"/>
      <c r="G13" s="4"/>
      <c r="H13" s="4"/>
      <c r="I13" s="4"/>
      <c r="J13" s="4"/>
      <c r="K13" s="4"/>
      <c r="L13" s="4"/>
      <c r="M13" s="4" t="s">
        <v>131</v>
      </c>
      <c r="N13" s="4" t="s">
        <v>227</v>
      </c>
    </row>
    <row r="14" spans="1:14" ht="52.05" customHeight="1">
      <c r="A14" s="6">
        <v>14</v>
      </c>
      <c r="B14" s="4" t="s">
        <v>137</v>
      </c>
      <c r="C14" s="4" t="s">
        <v>19</v>
      </c>
      <c r="D14" s="4" t="s">
        <v>13</v>
      </c>
      <c r="E14" s="4" t="s">
        <v>139</v>
      </c>
      <c r="F14" s="4"/>
      <c r="G14" s="4"/>
      <c r="H14" s="4"/>
      <c r="I14" s="4"/>
      <c r="J14" s="4"/>
      <c r="K14" s="4"/>
      <c r="L14" s="4"/>
      <c r="M14" s="4" t="s">
        <v>138</v>
      </c>
      <c r="N14" s="4" t="s">
        <v>227</v>
      </c>
    </row>
    <row r="15" spans="1:14" ht="52.05" customHeight="1">
      <c r="A15" s="6">
        <v>15</v>
      </c>
      <c r="B15" s="4" t="s">
        <v>143</v>
      </c>
      <c r="C15" s="4" t="s">
        <v>15</v>
      </c>
      <c r="D15" s="4" t="s">
        <v>13</v>
      </c>
      <c r="E15" s="4" t="s">
        <v>145</v>
      </c>
      <c r="F15" s="4"/>
      <c r="G15" s="4"/>
      <c r="H15" s="4"/>
      <c r="I15" s="4"/>
      <c r="J15" s="4"/>
      <c r="K15" s="4"/>
      <c r="L15" s="4"/>
      <c r="M15" s="4" t="s">
        <v>144</v>
      </c>
      <c r="N15" s="4" t="s">
        <v>227</v>
      </c>
    </row>
    <row r="16" spans="1:14" ht="52.05" customHeight="1">
      <c r="A16" s="6">
        <v>16</v>
      </c>
      <c r="B16" s="4" t="s">
        <v>149</v>
      </c>
      <c r="C16" s="4" t="s">
        <v>23</v>
      </c>
      <c r="D16" s="4" t="s">
        <v>13</v>
      </c>
      <c r="E16" s="4" t="s">
        <v>151</v>
      </c>
      <c r="F16" s="4"/>
      <c r="G16" s="4"/>
      <c r="H16" s="4"/>
      <c r="I16" s="4"/>
      <c r="J16" s="4"/>
      <c r="K16" s="4"/>
      <c r="L16" s="4"/>
      <c r="M16" s="4" t="s">
        <v>150</v>
      </c>
      <c r="N16" s="4" t="s">
        <v>227</v>
      </c>
    </row>
    <row r="17" spans="1:14" ht="52.05" customHeight="1">
      <c r="A17" s="6">
        <v>17</v>
      </c>
      <c r="B17" s="4" t="s">
        <v>156</v>
      </c>
      <c r="C17" s="4" t="s">
        <v>27</v>
      </c>
      <c r="D17" s="4" t="s">
        <v>13</v>
      </c>
      <c r="E17" s="4" t="s">
        <v>157</v>
      </c>
      <c r="F17" s="4"/>
      <c r="G17" s="4"/>
      <c r="H17" s="4"/>
      <c r="I17" s="4"/>
      <c r="J17" s="4"/>
      <c r="K17" s="4"/>
      <c r="L17" s="4"/>
      <c r="M17" s="4" t="s">
        <v>28</v>
      </c>
      <c r="N17" s="4" t="s">
        <v>227</v>
      </c>
    </row>
    <row r="18" spans="1:14" ht="52.05" customHeight="1">
      <c r="A18" s="6">
        <v>18</v>
      </c>
      <c r="B18" s="4" t="s">
        <v>161</v>
      </c>
      <c r="C18" s="4" t="s">
        <v>27</v>
      </c>
      <c r="D18" s="4" t="s">
        <v>13</v>
      </c>
      <c r="E18" s="4" t="s">
        <v>157</v>
      </c>
      <c r="F18" s="4"/>
      <c r="G18" s="4"/>
      <c r="H18" s="4"/>
      <c r="I18" s="4"/>
      <c r="J18" s="4"/>
      <c r="K18" s="4"/>
      <c r="L18" s="4"/>
      <c r="M18" s="4" t="s">
        <v>162</v>
      </c>
      <c r="N18" s="4" t="s">
        <v>227</v>
      </c>
    </row>
    <row r="19" spans="1:14" ht="52.05" customHeight="1">
      <c r="A19" s="6">
        <v>19</v>
      </c>
      <c r="B19" s="4" t="s">
        <v>166</v>
      </c>
      <c r="C19" s="4" t="s">
        <v>27</v>
      </c>
      <c r="D19" s="4" t="s">
        <v>13</v>
      </c>
      <c r="E19" s="4" t="s">
        <v>168</v>
      </c>
      <c r="F19" s="4"/>
      <c r="G19" s="4"/>
      <c r="H19" s="4"/>
      <c r="I19" s="4"/>
      <c r="J19" s="4"/>
      <c r="K19" s="4"/>
      <c r="L19" s="4"/>
      <c r="M19" s="4" t="s">
        <v>167</v>
      </c>
      <c r="N19" s="4" t="s">
        <v>227</v>
      </c>
    </row>
    <row r="20" spans="1:14" ht="52.05" customHeight="1">
      <c r="A20" s="6">
        <v>20</v>
      </c>
      <c r="B20" s="4" t="s">
        <v>172</v>
      </c>
      <c r="C20" s="4" t="s">
        <v>27</v>
      </c>
      <c r="D20" s="4" t="s">
        <v>13</v>
      </c>
      <c r="E20" s="4" t="s">
        <v>157</v>
      </c>
      <c r="F20" s="4"/>
      <c r="G20" s="4"/>
      <c r="H20" s="4"/>
      <c r="I20" s="4"/>
      <c r="J20" s="4"/>
      <c r="K20" s="4"/>
      <c r="L20" s="4"/>
      <c r="M20" s="4" t="s">
        <v>173</v>
      </c>
      <c r="N20" s="4" t="s">
        <v>227</v>
      </c>
    </row>
    <row r="21" spans="1:14" ht="52.05" customHeight="1">
      <c r="A21" s="6">
        <v>21</v>
      </c>
      <c r="B21" s="4" t="s">
        <v>177</v>
      </c>
      <c r="C21" s="4" t="s">
        <v>15</v>
      </c>
      <c r="D21" s="4" t="s">
        <v>13</v>
      </c>
      <c r="E21" s="4" t="s">
        <v>179</v>
      </c>
      <c r="F21" s="4"/>
      <c r="G21" s="4"/>
      <c r="H21" s="4"/>
      <c r="I21" s="4"/>
      <c r="J21" s="4"/>
      <c r="K21" s="4"/>
      <c r="L21" s="4"/>
      <c r="M21" s="4" t="s">
        <v>178</v>
      </c>
      <c r="N21" s="4" t="s">
        <v>227</v>
      </c>
    </row>
    <row r="22" spans="1:14" ht="52.05" customHeight="1">
      <c r="A22" s="6">
        <v>22</v>
      </c>
      <c r="B22" s="4" t="s">
        <v>184</v>
      </c>
      <c r="C22" s="4" t="s">
        <v>19</v>
      </c>
      <c r="D22" s="4" t="s">
        <v>13</v>
      </c>
      <c r="E22" s="4" t="s">
        <v>186</v>
      </c>
      <c r="F22" s="4"/>
      <c r="G22" s="4"/>
      <c r="H22" s="4"/>
      <c r="I22" s="4"/>
      <c r="J22" s="4"/>
      <c r="K22" s="4"/>
      <c r="L22" s="4"/>
      <c r="M22" s="4" t="s">
        <v>185</v>
      </c>
      <c r="N22" s="4" t="s">
        <v>227</v>
      </c>
    </row>
  </sheetData>
  <mergeCells count="1">
    <mergeCell ref="A1:N1"/>
  </mergeCells>
  <conditionalFormatting sqref="N4:N22">
    <cfRule type="expression" dxfId="2" priority="1">
      <formula>N4="Not started"</formula>
    </cfRule>
    <cfRule type="expression" dxfId="1" priority="2">
      <formula>N4="In progress"</formula>
    </cfRule>
    <cfRule type="expression" dxfId="0" priority="3">
      <formula>N4="Done"</formula>
    </cfRule>
  </conditionalFormatting>
  <dataValidations count="1">
    <dataValidation type="list" sqref="N4:N22" xr:uid="{00000000-0002-0000-0300-000000000000}">
      <formula1>"Not started,In progress,Done"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Source Decisions</vt:lpstr>
      <vt:lpstr>Bucket Summary</vt:lpstr>
      <vt:lpstr>Extraction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Volk;DeFelice</dc:creator>
  <cp:lastModifiedBy>Volk, Andrew Harrison (General Math and Science)</cp:lastModifiedBy>
  <dcterms:created xsi:type="dcterms:W3CDTF">2026-06-12T22:39:34Z</dcterms:created>
  <dcterms:modified xsi:type="dcterms:W3CDTF">2026-06-12T22:39:34Z</dcterms:modified>
</cp:coreProperties>
</file>